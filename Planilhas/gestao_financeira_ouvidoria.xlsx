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cagovbr-my.sharepoint.com/personal/marcelo_cortez_mj_gov_br1/Documents/1. SENAPPEN/2. OUVIDORIA/GITHUB/FOMENTO-ONASP/FOMENTO-ONASP/Planilhas/"/>
    </mc:Choice>
  </mc:AlternateContent>
  <xr:revisionPtr revIDLastSave="2165" documentId="121_{5868839F-5262-4ADE-9247-AEFBBF16C63D}" xr6:coauthVersionLast="47" xr6:coauthVersionMax="47" xr10:uidLastSave="{A82C4CCC-C671-4C2C-9829-A5F73616D29E}"/>
  <bookViews>
    <workbookView xWindow="-28920" yWindow="-1680" windowWidth="29040" windowHeight="15720" xr2:uid="{44B50A01-45D3-4E57-8B52-1C8142123E50}"/>
  </bookViews>
  <sheets>
    <sheet name="Geral" sheetId="1" r:id="rId1"/>
    <sheet name="IND_PRORROG" sheetId="23" r:id="rId2"/>
    <sheet name="MT" sheetId="8" r:id="rId3"/>
    <sheet name="GO" sheetId="2" r:id="rId4"/>
    <sheet name="PR" sheetId="15" r:id="rId5"/>
    <sheet name="AM" sheetId="7" r:id="rId6"/>
    <sheet name="AC" sheetId="22" r:id="rId7"/>
    <sheet name="MS" sheetId="5" r:id="rId8"/>
    <sheet name="SP" sheetId="19" r:id="rId9"/>
    <sheet name="MA" sheetId="21" r:id="rId10"/>
    <sheet name="PB" sheetId="14" r:id="rId11"/>
    <sheet name="PI" sheetId="9" r:id="rId12"/>
    <sheet name="RO" sheetId="17" r:id="rId13"/>
    <sheet name="TO" sheetId="6" r:id="rId14"/>
    <sheet name="RJ" sheetId="13" r:id="rId15"/>
    <sheet name="AL" sheetId="3" r:id="rId16"/>
    <sheet name="SC" sheetId="12" r:id="rId17"/>
  </sheets>
  <definedNames>
    <definedName name="_xlnm._FilterDatabase" localSheetId="6" hidden="1">AC!$A$1:$M$51</definedName>
    <definedName name="_xlnm._FilterDatabase" localSheetId="15" hidden="1">AL!$A$1:$M$34</definedName>
    <definedName name="_xlnm._FilterDatabase" localSheetId="5" hidden="1">AM!$A$1:$M$18</definedName>
    <definedName name="_xlnm._FilterDatabase" localSheetId="0" hidden="1">Geral!$A$1:$Z$16</definedName>
    <definedName name="_xlnm._FilterDatabase" localSheetId="3" hidden="1">GO!$A$1:$M$51</definedName>
    <definedName name="_xlnm._FilterDatabase" localSheetId="1" hidden="1">IND_PRORROG!$A$2:$R$22</definedName>
    <definedName name="_xlnm._FilterDatabase" localSheetId="9" hidden="1">MA!$A$1:$L$53</definedName>
    <definedName name="_xlnm._FilterDatabase" localSheetId="7" hidden="1">MS!$A$1:$M$73</definedName>
    <definedName name="_xlnm._FilterDatabase" localSheetId="2" hidden="1">MT!$A$1:$M$13</definedName>
    <definedName name="_xlnm._FilterDatabase" localSheetId="10" hidden="1">PB!$A$1:$M$18</definedName>
    <definedName name="_xlnm._FilterDatabase" localSheetId="11" hidden="1">PI!$A$1:$M$25</definedName>
    <definedName name="_xlnm._FilterDatabase" localSheetId="4" hidden="1">PR!$A$1:$M$26</definedName>
    <definedName name="_xlnm._FilterDatabase" localSheetId="14" hidden="1">RJ!$A$1:$L$60</definedName>
    <definedName name="_xlnm._FilterDatabase" localSheetId="12" hidden="1">RO!$A$1:$L$38</definedName>
    <definedName name="_xlnm._FilterDatabase" localSheetId="16" hidden="1">SC!$A$1:$M$24</definedName>
    <definedName name="_xlnm._FilterDatabase" localSheetId="8" hidden="1">SP!$A$1:$L$48</definedName>
    <definedName name="_xlnm._FilterDatabase" localSheetId="13" hidden="1">TO!$A$1:$M$56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10" i="12"/>
  <c r="L11" i="12"/>
  <c r="L9" i="12"/>
  <c r="M56" i="6"/>
  <c r="J56" i="6"/>
  <c r="M48" i="19"/>
  <c r="J48" i="19"/>
  <c r="L48" i="19" s="1"/>
  <c r="M26" i="19"/>
  <c r="J24" i="19"/>
  <c r="L24" i="19" s="1"/>
  <c r="M47" i="19"/>
  <c r="J47" i="19"/>
  <c r="L47" i="19" s="1"/>
  <c r="L46" i="19"/>
  <c r="M46" i="19"/>
  <c r="L45" i="19"/>
  <c r="M45" i="19"/>
  <c r="J5" i="19"/>
  <c r="L5" i="19" s="1"/>
  <c r="M44" i="19"/>
  <c r="J44" i="19"/>
  <c r="L44" i="19" s="1"/>
  <c r="L43" i="19"/>
  <c r="M43" i="19"/>
  <c r="M42" i="19"/>
  <c r="J42" i="19"/>
  <c r="L42" i="19" s="1"/>
  <c r="R6" i="1"/>
  <c r="M45" i="22"/>
  <c r="M46" i="22"/>
  <c r="M47" i="22"/>
  <c r="M48" i="22"/>
  <c r="M49" i="22"/>
  <c r="M50" i="22"/>
  <c r="M51" i="22"/>
  <c r="L48" i="22"/>
  <c r="L49" i="22"/>
  <c r="J50" i="22"/>
  <c r="L50" i="22" s="1"/>
  <c r="J51" i="22"/>
  <c r="L51" i="22" s="1"/>
  <c r="J49" i="22"/>
  <c r="J48" i="22"/>
  <c r="J46" i="22"/>
  <c r="L46" i="22" s="1"/>
  <c r="J47" i="22"/>
  <c r="L47" i="22" s="1"/>
  <c r="J45" i="22"/>
  <c r="L45" i="22" s="1"/>
  <c r="M42" i="22"/>
  <c r="M43" i="22"/>
  <c r="M44" i="22"/>
  <c r="J43" i="22"/>
  <c r="L43" i="22" s="1"/>
  <c r="J44" i="22"/>
  <c r="L44" i="22" s="1"/>
  <c r="J42" i="22"/>
  <c r="L42" i="22" s="1"/>
  <c r="L2" i="15"/>
  <c r="L3" i="15"/>
  <c r="L9" i="15"/>
  <c r="L10" i="15"/>
  <c r="L11" i="15"/>
  <c r="L21" i="15"/>
  <c r="L22" i="15"/>
  <c r="L23" i="15"/>
  <c r="L24" i="15"/>
  <c r="L25" i="15"/>
  <c r="L26" i="15"/>
  <c r="L2" i="19"/>
  <c r="L3" i="19"/>
  <c r="L4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22" i="21"/>
  <c r="L23" i="21"/>
  <c r="L24" i="21"/>
  <c r="L25" i="21"/>
  <c r="L26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50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" i="21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15" i="13"/>
  <c r="L16" i="13"/>
  <c r="L17" i="13"/>
  <c r="L18" i="13"/>
  <c r="L19" i="13"/>
  <c r="L20" i="13"/>
  <c r="L21" i="13"/>
  <c r="L22" i="13"/>
  <c r="L23" i="13"/>
  <c r="L14" i="13"/>
  <c r="L12" i="13"/>
  <c r="L13" i="13"/>
  <c r="L5" i="13"/>
  <c r="L2" i="13"/>
  <c r="J2" i="22"/>
  <c r="L2" i="22" s="1"/>
  <c r="J3" i="22" l="1"/>
  <c r="L3" i="22" s="1"/>
  <c r="J4" i="22"/>
  <c r="L4" i="22" s="1"/>
  <c r="J5" i="22"/>
  <c r="L5" i="22" s="1"/>
  <c r="J7" i="22"/>
  <c r="L7" i="22" s="1"/>
  <c r="J8" i="22"/>
  <c r="L8" i="22" s="1"/>
  <c r="J9" i="22"/>
  <c r="L9" i="22" s="1"/>
  <c r="J10" i="22"/>
  <c r="L10" i="22" s="1"/>
  <c r="J11" i="22"/>
  <c r="L11" i="22" s="1"/>
  <c r="J12" i="22"/>
  <c r="L12" i="22" s="1"/>
  <c r="J13" i="22"/>
  <c r="L13" i="22" s="1"/>
  <c r="J14" i="22"/>
  <c r="L14" i="22" s="1"/>
  <c r="J15" i="22"/>
  <c r="L15" i="22" s="1"/>
  <c r="J16" i="22"/>
  <c r="L16" i="22" s="1"/>
  <c r="J17" i="22"/>
  <c r="L17" i="22" s="1"/>
  <c r="J18" i="22"/>
  <c r="L18" i="22" s="1"/>
  <c r="J19" i="22"/>
  <c r="L19" i="22" s="1"/>
  <c r="J20" i="22"/>
  <c r="L20" i="22" s="1"/>
  <c r="J21" i="22"/>
  <c r="L21" i="22" s="1"/>
  <c r="J22" i="22"/>
  <c r="L22" i="22" s="1"/>
  <c r="J23" i="22"/>
  <c r="L23" i="22" s="1"/>
  <c r="J24" i="22"/>
  <c r="L24" i="22" s="1"/>
  <c r="J25" i="22"/>
  <c r="L25" i="22" s="1"/>
  <c r="J26" i="22"/>
  <c r="L26" i="22" s="1"/>
  <c r="J27" i="22"/>
  <c r="L27" i="22" s="1"/>
  <c r="J28" i="22"/>
  <c r="L28" i="22" s="1"/>
  <c r="J29" i="22"/>
  <c r="J30" i="22"/>
  <c r="L30" i="22" s="1"/>
  <c r="J31" i="22"/>
  <c r="L31" i="22" s="1"/>
  <c r="J32" i="22"/>
  <c r="L32" i="22" s="1"/>
  <c r="J33" i="22"/>
  <c r="L33" i="22" s="1"/>
  <c r="J34" i="22"/>
  <c r="L34" i="22" s="1"/>
  <c r="J35" i="22"/>
  <c r="J36" i="22"/>
  <c r="L36" i="22" s="1"/>
  <c r="J37" i="22"/>
  <c r="L37" i="22" s="1"/>
  <c r="J38" i="22"/>
  <c r="J39" i="22"/>
  <c r="L39" i="22" s="1"/>
  <c r="J40" i="22"/>
  <c r="L40" i="22" s="1"/>
  <c r="J41" i="22"/>
  <c r="L41" i="22" s="1"/>
  <c r="J6" i="22"/>
  <c r="L6" i="22" s="1"/>
  <c r="M31" i="22"/>
  <c r="M39" i="22"/>
  <c r="M40" i="22"/>
  <c r="G22" i="23"/>
  <c r="R22" i="23" s="1"/>
  <c r="F22" i="23"/>
  <c r="P22" i="23" s="1"/>
  <c r="E22" i="23"/>
  <c r="D22" i="23"/>
  <c r="H22" i="23" s="1"/>
  <c r="G18" i="23"/>
  <c r="R18" i="23" s="1"/>
  <c r="F18" i="23"/>
  <c r="P18" i="23" s="1"/>
  <c r="E18" i="23"/>
  <c r="N18" i="23" s="1"/>
  <c r="D18" i="23"/>
  <c r="H18" i="23" s="1"/>
  <c r="G21" i="23"/>
  <c r="R21" i="23" s="1"/>
  <c r="F21" i="23"/>
  <c r="P21" i="23" s="1"/>
  <c r="E21" i="23"/>
  <c r="N21" i="23" s="1"/>
  <c r="D21" i="23"/>
  <c r="H21" i="23" s="1"/>
  <c r="G20" i="23"/>
  <c r="R20" i="23" s="1"/>
  <c r="D20" i="23"/>
  <c r="H20" i="23" s="1"/>
  <c r="G19" i="23"/>
  <c r="R19" i="23" s="1"/>
  <c r="F19" i="23"/>
  <c r="P19" i="23" s="1"/>
  <c r="E19" i="23"/>
  <c r="N19" i="23" s="1"/>
  <c r="D19" i="23"/>
  <c r="H19" i="23" s="1"/>
  <c r="G17" i="23"/>
  <c r="R17" i="23" s="1"/>
  <c r="F17" i="23"/>
  <c r="P17" i="23" s="1"/>
  <c r="E17" i="23"/>
  <c r="N17" i="23" s="1"/>
  <c r="D17" i="23"/>
  <c r="H17" i="23" s="1"/>
  <c r="G16" i="23"/>
  <c r="R16" i="23" s="1"/>
  <c r="F16" i="23"/>
  <c r="P16" i="23" s="1"/>
  <c r="E16" i="23"/>
  <c r="N16" i="23" s="1"/>
  <c r="D16" i="23"/>
  <c r="H16" i="23" s="1"/>
  <c r="G15" i="23"/>
  <c r="R15" i="23" s="1"/>
  <c r="F15" i="23"/>
  <c r="P15" i="23" s="1"/>
  <c r="E15" i="23"/>
  <c r="N15" i="23" s="1"/>
  <c r="D15" i="23"/>
  <c r="H15" i="23" s="1"/>
  <c r="G14" i="23"/>
  <c r="R14" i="23" s="1"/>
  <c r="F14" i="23"/>
  <c r="P14" i="23" s="1"/>
  <c r="E14" i="23"/>
  <c r="N14" i="23" s="1"/>
  <c r="D14" i="23"/>
  <c r="H14" i="23" s="1"/>
  <c r="D13" i="23"/>
  <c r="H13" i="23" s="1"/>
  <c r="D12" i="23"/>
  <c r="H12" i="23" s="1"/>
  <c r="G11" i="23"/>
  <c r="R11" i="23" s="1"/>
  <c r="F11" i="23"/>
  <c r="P11" i="23" s="1"/>
  <c r="E11" i="23"/>
  <c r="N11" i="23" s="1"/>
  <c r="D11" i="23"/>
  <c r="H11" i="23" s="1"/>
  <c r="G10" i="23"/>
  <c r="R10" i="23" s="1"/>
  <c r="F10" i="23"/>
  <c r="P10" i="23" s="1"/>
  <c r="E10" i="23"/>
  <c r="N10" i="23" s="1"/>
  <c r="D10" i="23"/>
  <c r="H10" i="23" s="1"/>
  <c r="E9" i="23"/>
  <c r="D9" i="23"/>
  <c r="H9" i="23" s="1"/>
  <c r="G7" i="23"/>
  <c r="R7" i="23" s="1"/>
  <c r="F7" i="23"/>
  <c r="P7" i="23" s="1"/>
  <c r="E7" i="23"/>
  <c r="D7" i="23"/>
  <c r="H7" i="23" s="1"/>
  <c r="D6" i="23"/>
  <c r="H6" i="23" s="1"/>
  <c r="D5" i="23"/>
  <c r="H5" i="23" s="1"/>
  <c r="G4" i="23"/>
  <c r="R4" i="23" s="1"/>
  <c r="F4" i="23"/>
  <c r="P4" i="23" s="1"/>
  <c r="E4" i="23"/>
  <c r="N4" i="23" s="1"/>
  <c r="D4" i="23"/>
  <c r="H4" i="23" s="1"/>
  <c r="G3" i="23"/>
  <c r="R3" i="23" s="1"/>
  <c r="F3" i="23"/>
  <c r="P3" i="23" s="1"/>
  <c r="E3" i="23"/>
  <c r="N3" i="23" s="1"/>
  <c r="D3" i="23"/>
  <c r="H3" i="23" s="1"/>
  <c r="U14" i="1"/>
  <c r="Y14" i="1" s="1"/>
  <c r="U16" i="1"/>
  <c r="Y16" i="1" s="1"/>
  <c r="U11" i="1"/>
  <c r="Y11" i="1" s="1"/>
  <c r="U13" i="1"/>
  <c r="Y13" i="1" s="1"/>
  <c r="U15" i="1"/>
  <c r="Y15" i="1" s="1"/>
  <c r="U12" i="1"/>
  <c r="Y12" i="1" s="1"/>
  <c r="U8" i="1"/>
  <c r="Y8" i="1" s="1"/>
  <c r="U2" i="1"/>
  <c r="Y2" i="1" s="1"/>
  <c r="U7" i="1"/>
  <c r="Y7" i="1" s="1"/>
  <c r="U3" i="1"/>
  <c r="Y3" i="1" s="1"/>
  <c r="T14" i="1"/>
  <c r="X14" i="1" s="1"/>
  <c r="T16" i="1"/>
  <c r="X16" i="1" s="1"/>
  <c r="T11" i="1"/>
  <c r="X11" i="1" s="1"/>
  <c r="T13" i="1"/>
  <c r="X13" i="1" s="1"/>
  <c r="T15" i="1"/>
  <c r="X15" i="1" s="1"/>
  <c r="T12" i="1"/>
  <c r="X12" i="1" s="1"/>
  <c r="T8" i="1"/>
  <c r="X8" i="1" s="1"/>
  <c r="T2" i="1"/>
  <c r="X2" i="1" s="1"/>
  <c r="T7" i="1"/>
  <c r="X7" i="1" s="1"/>
  <c r="T3" i="1"/>
  <c r="X3" i="1" s="1"/>
  <c r="S8" i="1"/>
  <c r="M41" i="22" l="1"/>
  <c r="M33" i="22"/>
  <c r="M32" i="22"/>
  <c r="M36" i="22"/>
  <c r="M37" i="22"/>
  <c r="M34" i="22"/>
  <c r="M28" i="22"/>
  <c r="M27" i="22"/>
  <c r="M30" i="22"/>
  <c r="M38" i="22"/>
  <c r="L38" i="22"/>
  <c r="M35" i="22"/>
  <c r="L35" i="22"/>
  <c r="M29" i="22"/>
  <c r="L29" i="22"/>
  <c r="U6" i="1"/>
  <c r="Y6" i="1" s="1"/>
  <c r="G8" i="23"/>
  <c r="R8" i="23" s="1"/>
  <c r="M3" i="7"/>
  <c r="M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46" i="21"/>
  <c r="M47" i="21"/>
  <c r="M48" i="21"/>
  <c r="M49" i="21"/>
  <c r="M50" i="21"/>
  <c r="M51" i="21"/>
  <c r="M52" i="21"/>
  <c r="M53" i="21"/>
  <c r="M2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" i="15"/>
  <c r="M4" i="15"/>
  <c r="M5" i="15"/>
  <c r="M6" i="15"/>
  <c r="M9" i="15"/>
  <c r="M10" i="15"/>
  <c r="M11" i="15"/>
  <c r="M14" i="15"/>
  <c r="M15" i="15"/>
  <c r="M16" i="15"/>
  <c r="M17" i="15"/>
  <c r="M21" i="15"/>
  <c r="M22" i="15"/>
  <c r="M23" i="15"/>
  <c r="M24" i="15"/>
  <c r="M25" i="15"/>
  <c r="M26" i="15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4" i="13"/>
  <c r="M55" i="13"/>
  <c r="M56" i="13"/>
  <c r="M57" i="13"/>
  <c r="M58" i="13"/>
  <c r="M59" i="13"/>
  <c r="M60" i="13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3" i="22"/>
  <c r="M4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3" i="8"/>
  <c r="M4" i="8"/>
  <c r="M5" i="8"/>
  <c r="M6" i="8"/>
  <c r="M7" i="8"/>
  <c r="M8" i="8"/>
  <c r="M9" i="8"/>
  <c r="M10" i="8"/>
  <c r="M11" i="8"/>
  <c r="M12" i="8"/>
  <c r="M13" i="8"/>
  <c r="M4" i="7"/>
  <c r="M5" i="7"/>
  <c r="M6" i="7"/>
  <c r="M7" i="7"/>
  <c r="M8" i="7"/>
  <c r="M11" i="7"/>
  <c r="M12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2" i="21"/>
  <c r="M2" i="17"/>
  <c r="M2" i="15"/>
  <c r="M2" i="14"/>
  <c r="M2" i="13"/>
  <c r="M2" i="12"/>
  <c r="M2" i="22"/>
  <c r="M2" i="9"/>
  <c r="M2" i="8"/>
  <c r="M2" i="7"/>
  <c r="M2" i="6"/>
  <c r="M2" i="5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2" i="2"/>
  <c r="J15" i="15"/>
  <c r="L15" i="15" s="1"/>
  <c r="J14" i="15"/>
  <c r="L14" i="15" s="1"/>
  <c r="J6" i="15"/>
  <c r="L6" i="15" s="1"/>
  <c r="J5" i="15"/>
  <c r="L5" i="15" s="1"/>
  <c r="J4" i="15"/>
  <c r="L4" i="15" s="1"/>
  <c r="J8" i="15"/>
  <c r="L8" i="15" s="1"/>
  <c r="J7" i="15"/>
  <c r="L7" i="15" s="1"/>
  <c r="J13" i="15"/>
  <c r="J12" i="15"/>
  <c r="J17" i="15"/>
  <c r="L17" i="15" s="1"/>
  <c r="J16" i="15"/>
  <c r="L16" i="15" s="1"/>
  <c r="J20" i="15"/>
  <c r="J19" i="15"/>
  <c r="J18" i="15"/>
  <c r="J16" i="14"/>
  <c r="J10" i="14"/>
  <c r="J9" i="14"/>
  <c r="J4" i="14"/>
  <c r="J3" i="14"/>
  <c r="J7" i="14"/>
  <c r="J6" i="14"/>
  <c r="J53" i="21"/>
  <c r="L53" i="21" s="1"/>
  <c r="J52" i="21"/>
  <c r="L52" i="21" s="1"/>
  <c r="J51" i="21"/>
  <c r="L51" i="21" s="1"/>
  <c r="J49" i="21"/>
  <c r="L49" i="21" s="1"/>
  <c r="J48" i="21"/>
  <c r="L48" i="21" s="1"/>
  <c r="J47" i="21"/>
  <c r="L47" i="21" s="1"/>
  <c r="J30" i="21"/>
  <c r="L30" i="21" s="1"/>
  <c r="J29" i="21"/>
  <c r="L29" i="21" s="1"/>
  <c r="J28" i="21"/>
  <c r="J27" i="21"/>
  <c r="J21" i="21"/>
  <c r="L21" i="21" s="1"/>
  <c r="J20" i="21"/>
  <c r="L20" i="21" s="1"/>
  <c r="F8" i="23"/>
  <c r="P8" i="23" s="1"/>
  <c r="E8" i="23"/>
  <c r="N8" i="23" s="1"/>
  <c r="J18" i="7"/>
  <c r="L18" i="7" s="1"/>
  <c r="J17" i="7"/>
  <c r="L17" i="7" s="1"/>
  <c r="J16" i="7"/>
  <c r="L16" i="7" s="1"/>
  <c r="R5" i="1"/>
  <c r="J15" i="7"/>
  <c r="L15" i="7" s="1"/>
  <c r="J9" i="7"/>
  <c r="J14" i="7"/>
  <c r="J13" i="7"/>
  <c r="J10" i="7"/>
  <c r="L10" i="7" s="1"/>
  <c r="R9" i="1"/>
  <c r="V8" i="1"/>
  <c r="R8" i="1"/>
  <c r="S12" i="1"/>
  <c r="V12" i="1" s="1"/>
  <c r="R12" i="1"/>
  <c r="R4" i="1"/>
  <c r="R10" i="1"/>
  <c r="S14" i="1"/>
  <c r="V14" i="1" s="1"/>
  <c r="R14" i="1"/>
  <c r="S16" i="1"/>
  <c r="V16" i="1" s="1"/>
  <c r="R16" i="1"/>
  <c r="S11" i="1"/>
  <c r="V11" i="1" s="1"/>
  <c r="R11" i="1"/>
  <c r="S2" i="1"/>
  <c r="V2" i="1" s="1"/>
  <c r="S13" i="1"/>
  <c r="V13" i="1" s="1"/>
  <c r="R13" i="1"/>
  <c r="S7" i="1"/>
  <c r="V7" i="1" s="1"/>
  <c r="R7" i="1"/>
  <c r="S15" i="1"/>
  <c r="W15" i="1" s="1"/>
  <c r="R15" i="1"/>
  <c r="S3" i="1"/>
  <c r="W3" i="1" s="1"/>
  <c r="R3" i="1"/>
  <c r="O3" i="1"/>
  <c r="P16" i="1"/>
  <c r="O14" i="1"/>
  <c r="P4" i="1"/>
  <c r="O16" i="1"/>
  <c r="P12" i="1"/>
  <c r="O12" i="1"/>
  <c r="P14" i="1"/>
  <c r="O7" i="1"/>
  <c r="P11" i="1"/>
  <c r="P3" i="1"/>
  <c r="O11" i="1"/>
  <c r="P6" i="1"/>
  <c r="M13" i="15" l="1"/>
  <c r="L13" i="15"/>
  <c r="M18" i="15"/>
  <c r="L18" i="15"/>
  <c r="M20" i="15"/>
  <c r="L20" i="15"/>
  <c r="M8" i="15"/>
  <c r="M7" i="15"/>
  <c r="M19" i="15"/>
  <c r="L19" i="15"/>
  <c r="M12" i="15"/>
  <c r="L12" i="15"/>
  <c r="D8" i="23"/>
  <c r="H8" i="23" s="1"/>
  <c r="M28" i="21"/>
  <c r="L28" i="21"/>
  <c r="M30" i="21"/>
  <c r="M29" i="21"/>
  <c r="M27" i="21"/>
  <c r="L27" i="21"/>
  <c r="L13" i="7"/>
  <c r="F6" i="23"/>
  <c r="P6" i="23" s="1"/>
  <c r="T5" i="1"/>
  <c r="X5" i="1" s="1"/>
  <c r="L9" i="7"/>
  <c r="E6" i="23"/>
  <c r="N6" i="23" s="1"/>
  <c r="L14" i="7"/>
  <c r="U5" i="1"/>
  <c r="Y5" i="1" s="1"/>
  <c r="G6" i="23"/>
  <c r="R6" i="23" s="1"/>
  <c r="E20" i="23"/>
  <c r="N20" i="23" s="1"/>
  <c r="S10" i="1"/>
  <c r="V10" i="1" s="1"/>
  <c r="F20" i="23"/>
  <c r="P20" i="23" s="1"/>
  <c r="E13" i="23"/>
  <c r="N13" i="23" s="1"/>
  <c r="F13" i="23"/>
  <c r="P13" i="23" s="1"/>
  <c r="T10" i="1"/>
  <c r="X10" i="1" s="1"/>
  <c r="U10" i="1"/>
  <c r="Y10" i="1" s="1"/>
  <c r="G13" i="23"/>
  <c r="R13" i="23" s="1"/>
  <c r="E12" i="23"/>
  <c r="N12" i="23" s="1"/>
  <c r="S9" i="1"/>
  <c r="V9" i="1" s="1"/>
  <c r="F9" i="23"/>
  <c r="P9" i="23" s="1"/>
  <c r="G9" i="23"/>
  <c r="R9" i="23" s="1"/>
  <c r="E5" i="23"/>
  <c r="N5" i="23" s="1"/>
  <c r="S4" i="1"/>
  <c r="V4" i="1" s="1"/>
  <c r="T4" i="1"/>
  <c r="X4" i="1" s="1"/>
  <c r="F5" i="23"/>
  <c r="P5" i="23" s="1"/>
  <c r="G5" i="23"/>
  <c r="R5" i="23" s="1"/>
  <c r="U4" i="1"/>
  <c r="Y4" i="1" s="1"/>
  <c r="U9" i="1"/>
  <c r="Y9" i="1" s="1"/>
  <c r="G12" i="23"/>
  <c r="R12" i="23" s="1"/>
  <c r="F12" i="23"/>
  <c r="P12" i="23" s="1"/>
  <c r="T9" i="1"/>
  <c r="X9" i="1" s="1"/>
  <c r="M5" i="22"/>
  <c r="T6" i="1"/>
  <c r="X6" i="1" s="1"/>
  <c r="S6" i="1"/>
  <c r="V6" i="1" s="1"/>
  <c r="M18" i="7"/>
  <c r="M10" i="7"/>
  <c r="M13" i="7"/>
  <c r="M17" i="7"/>
  <c r="M9" i="7"/>
  <c r="M16" i="7"/>
  <c r="M15" i="7"/>
  <c r="M14" i="7"/>
  <c r="Z12" i="1"/>
  <c r="Z14" i="1"/>
  <c r="Z16" i="1"/>
  <c r="Z11" i="1"/>
  <c r="Z3" i="1"/>
  <c r="S5" i="1"/>
  <c r="W5" i="1" s="1"/>
  <c r="W8" i="1"/>
  <c r="W14" i="1"/>
  <c r="W11" i="1"/>
  <c r="W12" i="1"/>
  <c r="W7" i="1"/>
  <c r="W2" i="1"/>
  <c r="W13" i="1"/>
  <c r="W16" i="1"/>
  <c r="V15" i="1"/>
  <c r="V3" i="1"/>
  <c r="O8" i="1"/>
  <c r="P15" i="1"/>
  <c r="P9" i="1"/>
  <c r="P10" i="1"/>
  <c r="P5" i="1"/>
  <c r="O5" i="1"/>
  <c r="P8" i="1"/>
  <c r="O10" i="1"/>
  <c r="P7" i="1"/>
  <c r="O9" i="1"/>
  <c r="O4" i="1"/>
  <c r="P13" i="1"/>
  <c r="O2" i="1"/>
  <c r="O15" i="1"/>
  <c r="O13" i="1"/>
  <c r="P2" i="1"/>
  <c r="O6" i="1"/>
  <c r="W10" i="1" l="1"/>
  <c r="W9" i="1"/>
  <c r="W4" i="1"/>
  <c r="Z6" i="1"/>
  <c r="Z2" i="1"/>
  <c r="Z15" i="1"/>
  <c r="Z10" i="1"/>
  <c r="Z7" i="1"/>
  <c r="Z8" i="1"/>
  <c r="Z4" i="1"/>
  <c r="Z13" i="1"/>
  <c r="Z9" i="1"/>
  <c r="W6" i="1"/>
  <c r="Z5" i="1"/>
  <c r="V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C2E8D2-5777-4D7D-97A6-394D86BF64A3}" keepAlive="1" name="Consulta - siconv_convenio" description="Conexão com a consulta 'siconv_convenio' na pasta de trabalho." type="5" refreshedVersion="8" background="1" saveData="1">
    <dbPr connection="Provider=Microsoft.Mashup.OleDb.1;Data Source=$Workbook$;Location=siconv_convenio;Extended Properties=&quot;&quot;" command="SELECT * FROM [siconv_convenio]"/>
  </connection>
</connections>
</file>

<file path=xl/sharedStrings.xml><?xml version="1.0" encoding="utf-8"?>
<sst xmlns="http://schemas.openxmlformats.org/spreadsheetml/2006/main" count="3813" uniqueCount="659">
  <si>
    <t>UF</t>
  </si>
  <si>
    <t>INSTRUMENTO</t>
  </si>
  <si>
    <t>NÚMERO</t>
  </si>
  <si>
    <t>ANO</t>
  </si>
  <si>
    <t>PROCESSO SEI</t>
  </si>
  <si>
    <t>VENCIMENTO</t>
  </si>
  <si>
    <t>QUANT.
TA</t>
  </si>
  <si>
    <t>SOLICITOU PRORROGAÇÃO
2025?</t>
  </si>
  <si>
    <t>VALOR GLOBAL</t>
  </si>
  <si>
    <t>VALOR REPASSE</t>
  </si>
  <si>
    <t>VALOR
CONTRAPARTIDA</t>
  </si>
  <si>
    <t>REPASSE
DESEMBOLSADO</t>
  </si>
  <si>
    <t>RENDIMENTO
APROVADO</t>
  </si>
  <si>
    <t>SALDO DE
RENDIMENTOS ATUAL</t>
  </si>
  <si>
    <t>SALDO RESIDUAL
CAPITAL</t>
  </si>
  <si>
    <t>SALDO RESIDUAL
CUSTEIO</t>
  </si>
  <si>
    <t>CONTRAPARTIDA
INTEGRALIZADA</t>
  </si>
  <si>
    <t>VALOR EXECUTADO
GERAL</t>
  </si>
  <si>
    <t>VALOR PREVISTO
OUVIDORIA</t>
  </si>
  <si>
    <t>VALOR PREVISTO
CORREGEDORIA</t>
  </si>
  <si>
    <t>VALOR PREVISTO
ESCOLA PENAL</t>
  </si>
  <si>
    <t>VALOR RELATIVO
OUVIDORIA</t>
  </si>
  <si>
    <t>EXECUÇÃO
OUVIDORIA</t>
  </si>
  <si>
    <t>EXECUÇÃO
CORREGEDORIA</t>
  </si>
  <si>
    <t>EXECUÇÃO
ESCOLA PENAL</t>
  </si>
  <si>
    <t>SALDO TOTAL DISPONÍVEL PARA DESTINAÇÃO À OUVIDORIA</t>
  </si>
  <si>
    <t>MT</t>
  </si>
  <si>
    <t>Convênio</t>
  </si>
  <si>
    <t>08016024910202234</t>
  </si>
  <si>
    <t>SIM</t>
  </si>
  <si>
    <t>GO</t>
  </si>
  <si>
    <t>08016024915202267</t>
  </si>
  <si>
    <t>PR</t>
  </si>
  <si>
    <t>08016025090202206</t>
  </si>
  <si>
    <t>AM</t>
  </si>
  <si>
    <t>08016024901202243</t>
  </si>
  <si>
    <t>RS</t>
  </si>
  <si>
    <t>AC</t>
  </si>
  <si>
    <t>08016024899202211</t>
  </si>
  <si>
    <t>MG</t>
  </si>
  <si>
    <t>MS</t>
  </si>
  <si>
    <t>08016025017202226</t>
  </si>
  <si>
    <t>SP</t>
  </si>
  <si>
    <t>08016025062202281</t>
  </si>
  <si>
    <t>MA</t>
  </si>
  <si>
    <t>08016024893202235</t>
  </si>
  <si>
    <t>PB</t>
  </si>
  <si>
    <t>08016024920202270</t>
  </si>
  <si>
    <t>PI</t>
  </si>
  <si>
    <t>08016024995202251</t>
  </si>
  <si>
    <t>RO</t>
  </si>
  <si>
    <t>08016024924202258</t>
  </si>
  <si>
    <t>TO</t>
  </si>
  <si>
    <t>08016024985202215</t>
  </si>
  <si>
    <t>RJ</t>
  </si>
  <si>
    <t>08016024874202217</t>
  </si>
  <si>
    <t>AL</t>
  </si>
  <si>
    <t>08016025053202290</t>
  </si>
  <si>
    <t>RN</t>
  </si>
  <si>
    <t>RR</t>
  </si>
  <si>
    <t>SC</t>
  </si>
  <si>
    <t>08016025010202212</t>
  </si>
  <si>
    <t>PA</t>
  </si>
  <si>
    <t>DADOS GERAIS</t>
  </si>
  <si>
    <t>INDICADORES GERAIS</t>
  </si>
  <si>
    <t>OUVIDORIA</t>
  </si>
  <si>
    <t>CORREGEDORIA</t>
  </si>
  <si>
    <t>ESCOLA PENAL</t>
  </si>
  <si>
    <t>IND 01
EXECUÇÃO</t>
  </si>
  <si>
    <t>IND 02
COMPLEX. DESPESA RESIDUAL</t>
  </si>
  <si>
    <t>IND 03
REGULAR. RSE</t>
  </si>
  <si>
    <t>IND 04
CONCENTRAÇÃO PROCESSUAL</t>
  </si>
  <si>
    <t>IND 05
MATURIDADE PROCESSUAL RESIDUAL</t>
  </si>
  <si>
    <t>IND 06
TEMPESTIVIDADE RELATIVA DA LICITAÇÃO</t>
  </si>
  <si>
    <t>IND 07
EXECUÇÃO
OUVIDORIA</t>
  </si>
  <si>
    <t>IND 08
COMPLEX. DESPESA RESIDUAL</t>
  </si>
  <si>
    <t>IND 09
EXECUÇÃO CORREGEDORIA</t>
  </si>
  <si>
    <t>IND 10
COMPLEX. DESPESA RESIDUAL</t>
  </si>
  <si>
    <t>IND 11
EXECUÇÃO
ESCOLA PENAL</t>
  </si>
  <si>
    <t>IND 12
COMPLEX. DESPESA RESIDUAL</t>
  </si>
  <si>
    <t>Baixa Complexidade
Apenas bens</t>
  </si>
  <si>
    <t>Alta Concentração (Eficiente)
Todos os itens pendentes estão agrupados em 1 único processo</t>
  </si>
  <si>
    <t>Alta Maturidade (Favorável)
Licitação Publicada, Homologada ou Adesão a ARP confirmada</t>
  </si>
  <si>
    <t>Tempestivo
Dentro de 12 meses do último ajuste</t>
  </si>
  <si>
    <t>Média Complexidade
Majoritariamente bens</t>
  </si>
  <si>
    <t>Dispersão Processual
Necessidade de mais de 4 processos ou processos não abertos</t>
  </si>
  <si>
    <t>Alta Complexidade
Bens e serviços ou apenas serviços</t>
  </si>
  <si>
    <t>Média Maturidade
Termo de Referência (TR) inserido ou em análise jurídica local</t>
  </si>
  <si>
    <t>Atrasado
Mais de 18 meses desde o último ajuste</t>
  </si>
  <si>
    <t>-</t>
  </si>
  <si>
    <t>Baixa Maturidade (Risco)
Processo não iniciado ou sem registro na Plataforma</t>
  </si>
  <si>
    <t>Atenção
12 a 18 meses na fase interna.</t>
  </si>
  <si>
    <t>NÃO</t>
  </si>
  <si>
    <t>Média Concentração
Os itens estão divididos em 2 a 3 processos distintos</t>
  </si>
  <si>
    <t>ÁREA</t>
  </si>
  <si>
    <t>NATUREZA</t>
  </si>
  <si>
    <t>DESCRIÇÃO</t>
  </si>
  <si>
    <t>QUANTIDADE</t>
  </si>
  <si>
    <t>VALOR UNITÁRIO</t>
  </si>
  <si>
    <t>VALOR TOTAL PREVISTO</t>
  </si>
  <si>
    <t>VALOR TOTAL EXECUTADO</t>
  </si>
  <si>
    <t>SALDO</t>
  </si>
  <si>
    <t>SALDO ECONOMICIDADE</t>
  </si>
  <si>
    <t>CUSTEIO</t>
  </si>
  <si>
    <t>Cartilhas, Capa: 29,7x42,2cm, 4x4 cores,</t>
  </si>
  <si>
    <t>5700.0</t>
  </si>
  <si>
    <t>Serviço de confecção de Banner, 90x120cm</t>
  </si>
  <si>
    <t>316.0</t>
  </si>
  <si>
    <t>Serviço de confecção de Folders, 45x45cm</t>
  </si>
  <si>
    <t>5713.0</t>
  </si>
  <si>
    <t>CAPITAL</t>
  </si>
  <si>
    <t>** TA Contrapartida - Computador Desktop</t>
  </si>
  <si>
    <t>4.0</t>
  </si>
  <si>
    <t xml:space="preserve">** TA Contrapartida - Fone ouvido tipo: </t>
  </si>
  <si>
    <t>5.0</t>
  </si>
  <si>
    <t>Celulares smartphone, 128gb-5g - octa-co</t>
  </si>
  <si>
    <t>1.0</t>
  </si>
  <si>
    <t>Fone ouvido tipo: fechado, dinâmico , im</t>
  </si>
  <si>
    <t>Webcan Full HD para chamadas e gravações</t>
  </si>
  <si>
    <t>** Contrapartida - Computador Desktop Bá</t>
  </si>
  <si>
    <t>** - Contrapartida - AMBULÂNCIA TIPO FIO</t>
  </si>
  <si>
    <t>Veículo transporte pessoal, câmbio: manu</t>
  </si>
  <si>
    <t>Nobreak, alimentador automático de tensã</t>
  </si>
  <si>
    <t>TOTAL EXECUTADO
OUVIDORIA</t>
  </si>
  <si>
    <t>%
OUVIDORIA</t>
  </si>
  <si>
    <t>Cola para espuma acústica, cola de conta</t>
  </si>
  <si>
    <t>10.0</t>
  </si>
  <si>
    <t>Espuma Acústica Antichamas, 10 placas, 5</t>
  </si>
  <si>
    <t>Jogo de Pilhas recarregável 1000 Mah AAA</t>
  </si>
  <si>
    <t>Jogo de Pilhas recarregável 2700 Mah AA</t>
  </si>
  <si>
    <t>Munição CBC 5,56X45 COMUM M193 (TREINA) A</t>
  </si>
  <si>
    <t>10000.0</t>
  </si>
  <si>
    <t>Placas de isopor, forro isolamento termo</t>
  </si>
  <si>
    <t>2.0</t>
  </si>
  <si>
    <t>N/A</t>
  </si>
  <si>
    <t>Saldo Remanescente - Conforme NOTA TÉCNI</t>
  </si>
  <si>
    <t>Apresentador/Passador de slides, sem fio</t>
  </si>
  <si>
    <t>3.0</t>
  </si>
  <si>
    <t>Câmera DSLR: com lente EF-S 18-55mm, cap</t>
  </si>
  <si>
    <t>Câmera de Vídeo, Gravação de vídeos em F</t>
  </si>
  <si>
    <t>Estação de trabalho para edição de vídeo</t>
  </si>
  <si>
    <t>Gimbal Estabilizador para câmera DSLR, c</t>
  </si>
  <si>
    <t>Gravador de Aúdio Portátil, equipado com</t>
  </si>
  <si>
    <t>Headset, com transdutor dinâmico 53mm co</t>
  </si>
  <si>
    <t>Kit NVR com 4 câmeras, fonte de energia,</t>
  </si>
  <si>
    <t>Kit Refletor Led Luz Fria para Estúdio c</t>
  </si>
  <si>
    <t>Kit Teleprompter (TP), Kit com Estrutura</t>
  </si>
  <si>
    <t>Kit de tripé de vídeo profissional com c</t>
  </si>
  <si>
    <t>Lente zoom telefoto, distância focal 70-</t>
  </si>
  <si>
    <t>Mesa de som com 6 canais, sendo 4 canais</t>
  </si>
  <si>
    <t xml:space="preserve">Microfone super uni-direcional para uso </t>
  </si>
  <si>
    <t>Monitor LED, mínimo 27, conexões DVI-D (</t>
  </si>
  <si>
    <t>Monitor de Áudio, amplificador com potên</t>
  </si>
  <si>
    <t>Projetor 3.400 Lumens (no mínimo) Conexã</t>
  </si>
  <si>
    <t xml:space="preserve">Sistema de microfone headset (sem fio), </t>
  </si>
  <si>
    <t>Switcher de vídeo com barra de transição</t>
  </si>
  <si>
    <t>TV 42, Recursos/Funcionalidades,  Resolu</t>
  </si>
  <si>
    <t>TV 55, 4K UHD, mínimo 3 entradas HDMI 2.</t>
  </si>
  <si>
    <t>Tecido Fundo Infinito Verde, 3,00m Largu</t>
  </si>
  <si>
    <t>Webcam, Especificações: - Resolução máxi</t>
  </si>
  <si>
    <t>12.0</t>
  </si>
  <si>
    <t>Cartão de Memória Micro SD, 32Gb, com ad</t>
  </si>
  <si>
    <t>Cartão de memória SD 32Gb, classe 10</t>
  </si>
  <si>
    <t>HD Externo, Características: Capacidade:</t>
  </si>
  <si>
    <t>9.0</t>
  </si>
  <si>
    <t>Kit mouse + teclado com fio, padrão ABNT2</t>
  </si>
  <si>
    <t>Notebook, Com arquitetura x86 corporativ</t>
  </si>
  <si>
    <t>6.0</t>
  </si>
  <si>
    <t>Notebook; Sistema Operacional: Proprietá</t>
  </si>
  <si>
    <t xml:space="preserve">Tablet, Display Super AMOLED 14,6, TFT, </t>
  </si>
  <si>
    <t>Tablet, características mínimas: Process</t>
  </si>
  <si>
    <t>Armário tipo Locker Roupeiro 20 Portas A</t>
  </si>
  <si>
    <t>Cadeira Base Giratória Cor: Preto Materi</t>
  </si>
  <si>
    <t>Cadeira Escritório Presidente Giratória.</t>
  </si>
  <si>
    <t xml:space="preserve">Cadeira fixa de Palito - tubular em aço </t>
  </si>
  <si>
    <t>15.0</t>
  </si>
  <si>
    <t>Cadeira tipo Gamer; Acompanhada de 1 alm</t>
  </si>
  <si>
    <t>Automóvel de transporte de passageiros -</t>
  </si>
  <si>
    <t>Carregador de Pilhas recarregáveis forma</t>
  </si>
  <si>
    <t>Fechadura Eletrônica. Especificação Técn</t>
  </si>
  <si>
    <t>Filtro Bebedouro. Características, Gabin</t>
  </si>
  <si>
    <t>Fonte Adaptador AC  Eliminador de bateri</t>
  </si>
  <si>
    <t xml:space="preserve">Fragmentadora de papel com as seguintes </t>
  </si>
  <si>
    <t>Mochila para transporte de Câmera, capac</t>
  </si>
  <si>
    <t>* Curso de Pós Graduação Processo Admini</t>
  </si>
  <si>
    <t>20.0</t>
  </si>
  <si>
    <t>Curso de Pós Graduação em Compliance e L</t>
  </si>
  <si>
    <t>Ar Condicionado</t>
  </si>
  <si>
    <t>Gravador de Voz</t>
  </si>
  <si>
    <t>Saldo Remanescente de Capital 44</t>
  </si>
  <si>
    <t>Televisão</t>
  </si>
  <si>
    <t>Viva-Voz</t>
  </si>
  <si>
    <t>Fone de Ouvido</t>
  </si>
  <si>
    <t>Projetor de Vídeo</t>
  </si>
  <si>
    <t>Web Cam</t>
  </si>
  <si>
    <t>Notebook</t>
  </si>
  <si>
    <t>Veículo tipo SUV</t>
  </si>
  <si>
    <t>Viatura Descaracterizada (SUV)</t>
  </si>
  <si>
    <t>Viatura Descaracterizada - (Pick - Up)</t>
  </si>
  <si>
    <t>Tela Digital</t>
  </si>
  <si>
    <t>Tela Elétrica</t>
  </si>
  <si>
    <t>Contratação de serviço de pessoa jurídic</t>
  </si>
  <si>
    <t>APARELHO AR-CONDICIONADO, 18.000 BTUs</t>
  </si>
  <si>
    <t>CAIXA DE SOM amplificada</t>
  </si>
  <si>
    <t>PROJETOR MULTIMÍDIA / Datashow</t>
  </si>
  <si>
    <t>MICROCOMPUTADOR, tipo: Estação de trabalho</t>
  </si>
  <si>
    <t>NOTEBOOK</t>
  </si>
  <si>
    <t>CADEIRA FIXA para auditório</t>
  </si>
  <si>
    <t>36.0</t>
  </si>
  <si>
    <t>CADEIRA GIRATÓRIA, modelo: secretária</t>
  </si>
  <si>
    <t>MESA PARA ESCRITÓRIO, formato: retangular</t>
  </si>
  <si>
    <t>MESA PARA ESCRITÓRIO, tipo 'L'</t>
  </si>
  <si>
    <t>8.0</t>
  </si>
  <si>
    <t>CADEIRA FIXA, Sem braço, 04 pés, tipo es</t>
  </si>
  <si>
    <t>11.0</t>
  </si>
  <si>
    <t>40.0</t>
  </si>
  <si>
    <t>30.0</t>
  </si>
  <si>
    <t>16.0</t>
  </si>
  <si>
    <t>80.0</t>
  </si>
  <si>
    <t>Aplicação de Palestras com diferentes te</t>
  </si>
  <si>
    <t>Aplicação de Seminário com 2 palestras c</t>
  </si>
  <si>
    <t>Curso de Edição de Vídeos</t>
  </si>
  <si>
    <t>Cadeira de escritório para mesa de reunião</t>
  </si>
  <si>
    <t>Coletes de Identificação</t>
  </si>
  <si>
    <t>Computador Desktop completo</t>
  </si>
  <si>
    <t>Câmera de videoconferencia (webcam)</t>
  </si>
  <si>
    <t>Desktop para edição de video</t>
  </si>
  <si>
    <t>Estabilizador 3KVA</t>
  </si>
  <si>
    <t>Estabilizador para Câmera</t>
  </si>
  <si>
    <t>Filmadora Profissional</t>
  </si>
  <si>
    <t>Gravador e reprodutor de áudio</t>
  </si>
  <si>
    <t>HD externo de 1tb portátil</t>
  </si>
  <si>
    <t>Lousa digital</t>
  </si>
  <si>
    <t>Mesa de Reunião Retangular 2m de comprimento</t>
  </si>
  <si>
    <t>Microfone direcional de mesa</t>
  </si>
  <si>
    <t>Microfone sem fio tipo lapela</t>
  </si>
  <si>
    <t>Monitor de led 18,5 &amp;#039; resolução 192</t>
  </si>
  <si>
    <t>Monitor de led 18,5' resolução 1920x1080</t>
  </si>
  <si>
    <t>Notebook 4 núcleos 2.4ghz ram ddr 4 8gb</t>
  </si>
  <si>
    <t>Saldo de economicidade</t>
  </si>
  <si>
    <t>Smartphone minimo de 128gb de memória in</t>
  </si>
  <si>
    <t>Switcher de video</t>
  </si>
  <si>
    <t>Teleprompt</t>
  </si>
  <si>
    <t>Tripé para Câmera</t>
  </si>
  <si>
    <t>7.0</t>
  </si>
  <si>
    <t>Alvo Silhueta padrão SAT/ANP cx com 1.000</t>
  </si>
  <si>
    <t>300.0</t>
  </si>
  <si>
    <t>Alvo percepção c/ 4 cores SAT c/100unid</t>
  </si>
  <si>
    <t>Alvos Metálicos plates</t>
  </si>
  <si>
    <t>Alvos Metálicos popper</t>
  </si>
  <si>
    <t>Caixa arquivo em plástico PP corrugado d</t>
  </si>
  <si>
    <t>21.0</t>
  </si>
  <si>
    <t>Caixa organizadora mínimo 20 L</t>
  </si>
  <si>
    <t>Calça Tática</t>
  </si>
  <si>
    <t>Camisa Tática</t>
  </si>
  <si>
    <t>Capacete para treino boxe, artes marciai</t>
  </si>
  <si>
    <t>Cartão de memória, com capacidade de arm</t>
  </si>
  <si>
    <t>Cinto Tático</t>
  </si>
  <si>
    <t>Coturno</t>
  </si>
  <si>
    <t>Kit limpeza de armamento pistola SW.40</t>
  </si>
  <si>
    <t>Kit limpeza fuzil 5.56</t>
  </si>
  <si>
    <t>Luvas de boxe para treino (pares)</t>
  </si>
  <si>
    <t>PASTA L</t>
  </si>
  <si>
    <t>100.0</t>
  </si>
  <si>
    <t>Persiana Rolo - Tecido Blackout - Altura</t>
  </si>
  <si>
    <t>caixa organizadora mínimo 40 L</t>
  </si>
  <si>
    <t>extrator de grampo</t>
  </si>
  <si>
    <t>furadores de papel</t>
  </si>
  <si>
    <t>grampeadores 240 fl</t>
  </si>
  <si>
    <t>pasta arquivo</t>
  </si>
  <si>
    <t>101.0</t>
  </si>
  <si>
    <t>pen drive 128gb</t>
  </si>
  <si>
    <t xml:space="preserve">Algemas de pulso cromada c/corrente com </t>
  </si>
  <si>
    <t>17.0</t>
  </si>
  <si>
    <t>Capacete antitumulto</t>
  </si>
  <si>
    <t>18.0</t>
  </si>
  <si>
    <t>Descanso para pés ergonômico</t>
  </si>
  <si>
    <t>Escudo antitumulto em placas de policarb</t>
  </si>
  <si>
    <t>Tonfa padrão 58cm</t>
  </si>
  <si>
    <t>39.0</t>
  </si>
  <si>
    <t>caneleira e joelheira antitumulto em ter</t>
  </si>
  <si>
    <t>Meia Militar</t>
  </si>
  <si>
    <t>Meia militar</t>
  </si>
  <si>
    <t>57.0</t>
  </si>
  <si>
    <t>Ar condicionado inverter 12.000 BTUs</t>
  </si>
  <si>
    <t>Ar condicionado inverter 24.000 BTUs</t>
  </si>
  <si>
    <t xml:space="preserve">Bebedouro Industrial de aço inox minimo </t>
  </si>
  <si>
    <t>Cadeira Fixa</t>
  </si>
  <si>
    <t>Cadeira Giratória com braços</t>
  </si>
  <si>
    <t>Cadeira Universitária: Espaldar médio fi</t>
  </si>
  <si>
    <t>260.0</t>
  </si>
  <si>
    <t>Computador completo com monitor</t>
  </si>
  <si>
    <t>Estante em aço com 6 prateleiras</t>
  </si>
  <si>
    <t>Freegobar mínimo 45 litros</t>
  </si>
  <si>
    <t>Geladeira minimo 410L Frost Free 110v Branca</t>
  </si>
  <si>
    <t>Longarina com 3 lugares</t>
  </si>
  <si>
    <t>Lousa branca, tamanho minimo 1,80x1,20 c</t>
  </si>
  <si>
    <t>Mesa em L</t>
  </si>
  <si>
    <t>Microondas mínimo 20L. branco 110v</t>
  </si>
  <si>
    <t>Gravador de telefone de voz de áudio digital</t>
  </si>
  <si>
    <t>Headset com identificador de chamada</t>
  </si>
  <si>
    <t>fragmentadora papel material 15 fls</t>
  </si>
  <si>
    <t>porteiro eletrônico com fechadura eletrônica</t>
  </si>
  <si>
    <t xml:space="preserve">Capa e Case Protetora para Câmera GoPro </t>
  </si>
  <si>
    <t>Cartão de Memória Dispositivo de Armazen</t>
  </si>
  <si>
    <t xml:space="preserve">Curso de Pós Graduação Direitos Humanos </t>
  </si>
  <si>
    <t>250.0</t>
  </si>
  <si>
    <t>Curso de Pós Graduação em  Direito Admin</t>
  </si>
  <si>
    <t>Saldo Residual Serviços EAP</t>
  </si>
  <si>
    <t>Serviço de INSTALAÇÃO APARELHO DE AR CON</t>
  </si>
  <si>
    <t>25.0</t>
  </si>
  <si>
    <t>ALGEMA DE PUNHO  DOBRADIÇA DUPLA</t>
  </si>
  <si>
    <t>ALGEMA DE TORNOZELO</t>
  </si>
  <si>
    <t>sobra de saldo residual</t>
  </si>
  <si>
    <t>Algemas de aço inox Pulso Treinamentos p</t>
  </si>
  <si>
    <t>500.0</t>
  </si>
  <si>
    <t>Ar Condicionado Teto Daikin Inverter 48K</t>
  </si>
  <si>
    <t xml:space="preserve">Ar condicionado de Parede Dual Inverter </t>
  </si>
  <si>
    <t>Armário de Escritório com 02 portas Ouvi</t>
  </si>
  <si>
    <t xml:space="preserve">Beacons Eddystone Ble, para Escola Adm. </t>
  </si>
  <si>
    <t>63.0</t>
  </si>
  <si>
    <t>Cadeira Giratória Modelo Presidente - Co</t>
  </si>
  <si>
    <t>28.0</t>
  </si>
  <si>
    <t>Cadeira Giratória com braço, para Escola</t>
  </si>
  <si>
    <t>50.0</t>
  </si>
  <si>
    <t>Cadeira Giratória tipo poltrona - para O</t>
  </si>
  <si>
    <t>13.0</t>
  </si>
  <si>
    <t>Cadeira Universitária Polipropileno - Es</t>
  </si>
  <si>
    <t>400.0</t>
  </si>
  <si>
    <t xml:space="preserve">Circulador de Ar EBS Turbo  56 cm ECP60 </t>
  </si>
  <si>
    <t>Circulador de ar 50 - piso   para correg</t>
  </si>
  <si>
    <t>Computador desktop P348 30ER0002BO, para</t>
  </si>
  <si>
    <t>27.0</t>
  </si>
  <si>
    <t xml:space="preserve">Estante de aço para arquivo morto, para </t>
  </si>
  <si>
    <t xml:space="preserve">Forno Micro-Ondas 01 para Corregedoria; </t>
  </si>
  <si>
    <t>GSMARTPHONE 128GB MEMORIA INTERNA, 8GB R</t>
  </si>
  <si>
    <t xml:space="preserve">Gaveteiro de 2 gavetas e 1 gavetão para </t>
  </si>
  <si>
    <t>Livro  Reforma da Lei de Improbabilidade</t>
  </si>
  <si>
    <t>Livro Comentários à Lei de Licitação e C</t>
  </si>
  <si>
    <t>Livro nova Lei de  Licitações e Contrato</t>
  </si>
  <si>
    <t>Livros para o acervo da Biblioteca da Es</t>
  </si>
  <si>
    <t>51.0</t>
  </si>
  <si>
    <t>Lousa Digital 55 inteligente com conexão</t>
  </si>
  <si>
    <t>Mesa de Centro para Escritório - para Co</t>
  </si>
  <si>
    <t>Mesa de Reunião Redonda para Escritório,</t>
  </si>
  <si>
    <t xml:space="preserve">Monitor DE Vídeo  23,8 61F9kbr1BR, para </t>
  </si>
  <si>
    <t>Monitor Vídeo 32 - para Corregedoria - CASP</t>
  </si>
  <si>
    <t>Poltronas para o Auditório com Prancheta</t>
  </si>
  <si>
    <t>200.0</t>
  </si>
  <si>
    <t>Radio Portátil HP - para Escola Adm Peni</t>
  </si>
  <si>
    <t>SMART TV 55, para Escola Adm. Penitenciária</t>
  </si>
  <si>
    <t>SMART TV tela plana 50 polegadas, para O</t>
  </si>
  <si>
    <t>Saldo Residual</t>
  </si>
  <si>
    <t>Sofa de recepção 03 lugares, para Ouvidoria</t>
  </si>
  <si>
    <t>Cabo HDMI</t>
  </si>
  <si>
    <t>Cabo LW XLR P10</t>
  </si>
  <si>
    <t>Cabo NM E-20 P10 MONO/XLR Macho</t>
  </si>
  <si>
    <t>Cabo P10 Stereo XLR Fêmea</t>
  </si>
  <si>
    <t>Cabo balanceado XLR2XLR SC20 15M</t>
  </si>
  <si>
    <t>Cabo balanceado XLR2XLR SC20 20M</t>
  </si>
  <si>
    <t>Cabo de microfone XLR/P10 HG</t>
  </si>
  <si>
    <t>Cabo microfone TX HG P10/XLR</t>
  </si>
  <si>
    <t>Headphone/Fone de ouvido</t>
  </si>
  <si>
    <t>Microfone</t>
  </si>
  <si>
    <t>Microfone de lapela</t>
  </si>
  <si>
    <t>SALDO REMANESCENTE</t>
  </si>
  <si>
    <t xml:space="preserve">Suporte fundo infinito + Chroma Key 3X2 </t>
  </si>
  <si>
    <t>Tecido Chroma Key 3X2 para estúdio fotog</t>
  </si>
  <si>
    <t>abafador auricular</t>
  </si>
  <si>
    <t>cinto de guarnição com porta tonfa, cold</t>
  </si>
  <si>
    <t>60.0</t>
  </si>
  <si>
    <t>coldre</t>
  </si>
  <si>
    <t>tonfa</t>
  </si>
  <si>
    <t>70.0</t>
  </si>
  <si>
    <t>Óculos de Proteção</t>
  </si>
  <si>
    <t xml:space="preserve">Curso de capacitação em VCQB (MODULO I) </t>
  </si>
  <si>
    <t>Curso: Licitações e contratos conforme a</t>
  </si>
  <si>
    <t>curso Gestão de Risco, Compliance e Audi</t>
  </si>
  <si>
    <t>curso Negociação e Administração de Conf</t>
  </si>
  <si>
    <t>Aparelho de TV</t>
  </si>
  <si>
    <t>Caixas de som</t>
  </si>
  <si>
    <t>Camera para pc com microfone com tecnolo</t>
  </si>
  <si>
    <t>Cartão de memória 512 GB</t>
  </si>
  <si>
    <t>Câmera fotográfica profissional</t>
  </si>
  <si>
    <t>DRONE</t>
  </si>
  <si>
    <t>Filmadora profissional</t>
  </si>
  <si>
    <t>HD externo</t>
  </si>
  <si>
    <t>Lente: EF 50 MM F/ 1.8 STM</t>
  </si>
  <si>
    <t>Lente: EF-S 18-135MM F/3.5-5.6 IS STM</t>
  </si>
  <si>
    <t>Mesa de som</t>
  </si>
  <si>
    <t>Mesa de vídeo</t>
  </si>
  <si>
    <t>Monitor de áudio</t>
  </si>
  <si>
    <t>Scanner de mesa</t>
  </si>
  <si>
    <t>Teleprompter</t>
  </si>
  <si>
    <t>Tripé profissional com cabeça semi-hidrá</t>
  </si>
  <si>
    <t>caixa de som 600w rms</t>
  </si>
  <si>
    <t>cofre de armas</t>
  </si>
  <si>
    <t>computador tipo básico</t>
  </si>
  <si>
    <t>data show</t>
  </si>
  <si>
    <t>notebook básico</t>
  </si>
  <si>
    <t>CONTRATAÇÃO de instituição de ensino par</t>
  </si>
  <si>
    <t>CAIXA de som amplificada com potência má</t>
  </si>
  <si>
    <t>NOTEBOOK TIPO II  Processador: AMD Ryzen</t>
  </si>
  <si>
    <t>19.0</t>
  </si>
  <si>
    <t>NOTEBOOK TIPO III  Processador: AMD Ryze</t>
  </si>
  <si>
    <t>PROJETOR Multimídia 3500 lumens 1024 x 7</t>
  </si>
  <si>
    <t xml:space="preserve">CONDICIONADOR de ar tipo split Hi Wall, </t>
  </si>
  <si>
    <t>CONDICIONADOR de ar tipo split, capacida</t>
  </si>
  <si>
    <t>Câmera profissional digital de lente cam</t>
  </si>
  <si>
    <t>NOTEBOOK Avançado com as seguintes Carac</t>
  </si>
  <si>
    <t>Smart TV Led 55, Televisor 55 Polegadas,</t>
  </si>
  <si>
    <t>Alvo para Stand de Tiro</t>
  </si>
  <si>
    <t>Camisa manga longa/Instrutor</t>
  </si>
  <si>
    <t>Camiseta</t>
  </si>
  <si>
    <t>Banner</t>
  </si>
  <si>
    <t>Cartilha</t>
  </si>
  <si>
    <t>2000.0</t>
  </si>
  <si>
    <t>Folder</t>
  </si>
  <si>
    <t>Bluegun - G17 - Pró Laser</t>
  </si>
  <si>
    <t>Bluegun - G17 - Pró shock</t>
  </si>
  <si>
    <t>Tatames/Placas 1mx1mx0,40m.</t>
  </si>
  <si>
    <t>Urnas de Acrílico</t>
  </si>
  <si>
    <t>Curso de Pós Graduação latu sensu em Pro</t>
  </si>
  <si>
    <t>Curso de Pós-Graduação latu sensu em Ges</t>
  </si>
  <si>
    <t>Smartphone</t>
  </si>
  <si>
    <t>Armário baixo 800 x 500 x 740 mm</t>
  </si>
  <si>
    <t>Cadeira fixa média com braços</t>
  </si>
  <si>
    <t>Cadeira operacional espaldar alto, com b</t>
  </si>
  <si>
    <t xml:space="preserve">Cadeira operacional espaldar médio, com </t>
  </si>
  <si>
    <t>Headset Fone</t>
  </si>
  <si>
    <t>Longarina de 2 lugares com brçaos</t>
  </si>
  <si>
    <t xml:space="preserve">Mesa em L, dimensões: 1400 x 600 x 1400 </t>
  </si>
  <si>
    <t xml:space="preserve">Mesa reunião redonda, dimensões: 1200 x </t>
  </si>
  <si>
    <t>Saldo Residual após o ajuste do PT</t>
  </si>
  <si>
    <t>Veículo Administrativo, Modelo SUV</t>
  </si>
  <si>
    <t xml:space="preserve">Descanso Ergonômico Apoio de punho para </t>
  </si>
  <si>
    <t>Adesivo 60 x 50</t>
  </si>
  <si>
    <t>Banner 0,60 x 0,50</t>
  </si>
  <si>
    <t>275.0</t>
  </si>
  <si>
    <t>Placa PVC 70 x 60</t>
  </si>
  <si>
    <t>Mesa de escritório em L com gavetas</t>
  </si>
  <si>
    <t>Caixa amplificada de som 300w</t>
  </si>
  <si>
    <t>Câmera de Vídeo Profissional</t>
  </si>
  <si>
    <t>Gravador de Áudio Portátil Profissional</t>
  </si>
  <si>
    <t>Microfone Direcional</t>
  </si>
  <si>
    <t>Microfone de Lapela sem fio</t>
  </si>
  <si>
    <t>Projetor 3.400 lumens, Hdmi.</t>
  </si>
  <si>
    <t>Teleprompter Profissional com Led</t>
  </si>
  <si>
    <t>Tripé para Câmera de Vídeo</t>
  </si>
  <si>
    <t>Monitor 23 polegadas</t>
  </si>
  <si>
    <t>Notebook core i7 8GB 512GB SSD Tela Full</t>
  </si>
  <si>
    <t>Cadeira Longarina 3 lugares</t>
  </si>
  <si>
    <t>Apoiador de pés ergonômico</t>
  </si>
  <si>
    <t>Ar Condicionado Split 30.000 BTUS (insta</t>
  </si>
  <si>
    <t>Ar Condicionado Split12.000 BTUS (instalado)</t>
  </si>
  <si>
    <t>Armário Alto Organizado</t>
  </si>
  <si>
    <t>Cadeira Executiva Giratória Presidente</t>
  </si>
  <si>
    <t>Cadeira Executiva em Longarina</t>
  </si>
  <si>
    <t>Central de ar 12.000 mil btus inverter</t>
  </si>
  <si>
    <t>Central de ar 18.000 mil btus inverter</t>
  </si>
  <si>
    <t>Computador 8gb Ddr4 Ssd 240 gb Monitor 1</t>
  </si>
  <si>
    <t>Computador de Mesa (desktop) PROCESSADOR</t>
  </si>
  <si>
    <t>Câmera Digital T100 18mp Lente 18 55mm W</t>
  </si>
  <si>
    <t>Estabilizador</t>
  </si>
  <si>
    <t>Lousa de vidro</t>
  </si>
  <si>
    <t>MONITOR WIDESCREEN 24MK430H - 23.8' LED,</t>
  </si>
  <si>
    <t>Nobreak 1.200 VA</t>
  </si>
  <si>
    <t>Nobreak 1200Va 120V</t>
  </si>
  <si>
    <t>Nobreak XNB 720 VA - 120V</t>
  </si>
  <si>
    <t>Scanner Portátil i940 Preto USB</t>
  </si>
  <si>
    <t>Teclado e mouse sem fio multi slim, abnt</t>
  </si>
  <si>
    <t>Televisor 43 Smart TV 4K</t>
  </si>
  <si>
    <t>Webcam Full Hd 4k Microfone Conexão</t>
  </si>
  <si>
    <t>Saldo de Economicidade - despesas de custeio</t>
  </si>
  <si>
    <t>ETAPA 1 - OUVIDORIA - Apoio ergonômico p</t>
  </si>
  <si>
    <t xml:space="preserve">ETAPA 1 - OUVIDORIA - Caixa de som para </t>
  </si>
  <si>
    <t>ETAPA 1 - OUVIDORIA - Headset Microfone</t>
  </si>
  <si>
    <t>ETAPA 1 - OUVIDORIA - Webcam: Câmera Web</t>
  </si>
  <si>
    <t>ETAPA 2 - CORREGEDORIA - Apoio ergonômic</t>
  </si>
  <si>
    <t xml:space="preserve">ETAPA 2 - CORREGEDORIA - Fone de ouvido </t>
  </si>
  <si>
    <t>ETAPA 2 - CORREGEDORIA - Headset Microfone</t>
  </si>
  <si>
    <t xml:space="preserve">ETAPA 2 - CORREGEDORIA - Webcam: Câmera </t>
  </si>
  <si>
    <t xml:space="preserve">ETAPA 3  ESCOLA - BASTÃO POLICIAL PR-24 </t>
  </si>
  <si>
    <t>32.0</t>
  </si>
  <si>
    <t>ETAPA 3  ESCOLA - BATERIA DE PISTOLA AIR</t>
  </si>
  <si>
    <t>ETAPA 3  ESCOLA - BATERIA P/CARABINA AIR</t>
  </si>
  <si>
    <t>ETAPA 3  ESCOLA - CADEIRA PLASTICA</t>
  </si>
  <si>
    <t>ETAPA 3  ESCOLA - CAIXA DE SOM PORTÁTIL</t>
  </si>
  <si>
    <t xml:space="preserve">ETAPA 3  ESCOLA - CARREGADOR BATERIA DE </t>
  </si>
  <si>
    <t>ETAPA 3  ESCOLA - CARREGADOR BATERIA P/C</t>
  </si>
  <si>
    <t xml:space="preserve">ETAPA 3  ESCOLA - GARRAFA TÉRMICA DE 20 </t>
  </si>
  <si>
    <t>ETAPA 3  ESCOLA - GARRAFA TÉRMICA DE 5 L</t>
  </si>
  <si>
    <t xml:space="preserve">ETAPA 3  ESCOLA - HEADFONE-PROFISSIONAL </t>
  </si>
  <si>
    <t>ETAPA 3  ESCOLA - MESA PLASTICA</t>
  </si>
  <si>
    <t>ETAPA 3  ESCOLA - MICROFONES SEM FIOS CO</t>
  </si>
  <si>
    <t>ETAPA 3  ESCOLA - MUNIÇÃO BBS 6MM PARA A</t>
  </si>
  <si>
    <t>ETAPA 3  ESCOLA - PLACA DE MEMÓRIA RAM 1</t>
  </si>
  <si>
    <t>ETAPA 3  ESCOLA - PLACA USB 2.0-WIFI</t>
  </si>
  <si>
    <t xml:space="preserve">ETAPA 3  ESCOLA - RING LIGHT GRANDE COM </t>
  </si>
  <si>
    <t>ETAPA 3  ESCOLA - TOMADA/EXTENSÃO PROFIS</t>
  </si>
  <si>
    <t>ETAPA 3  ESCOLA - TORNIQUETE DE APH TATI</t>
  </si>
  <si>
    <t>ETAPA 2 - CORREGEDORIA - Frigobar com Ca</t>
  </si>
  <si>
    <t>ETAPA 2 - CORREGEDORIA - Cadeira giratór</t>
  </si>
  <si>
    <t>ETAPA 2 - CORREGEDORIA - Gaveteiro volan</t>
  </si>
  <si>
    <t>ETAPA 2 - CORREGEDORIA - MESA COM CREDEN</t>
  </si>
  <si>
    <t xml:space="preserve">ETAPA 3  ESCOLA - BEBEDOURO DE ALUMINIO </t>
  </si>
  <si>
    <t>ETAPA 1 - OUVIDORIA - CPU: Microcomputad</t>
  </si>
  <si>
    <t>ETAPA 1 - OUVIDORIA - Cadeira Giratória</t>
  </si>
  <si>
    <t xml:space="preserve">ETAPA 1 - OUVIDORIA - Mesa - estação de </t>
  </si>
  <si>
    <t>ETAPA 1 - OUVIDORIA - Monitor</t>
  </si>
  <si>
    <t>ETAPA 1 - OUVIDORIA - Nobreak: Peça/Comp</t>
  </si>
  <si>
    <t>ETAPA 1 - OUVIDORIA - Notebook: Bateria:</t>
  </si>
  <si>
    <t>ETAPA 2 - CORREGEDORIA - CPU: Microcompu</t>
  </si>
  <si>
    <t>ETAPA 2 - CORREGEDORIA - Mesa reta: esta</t>
  </si>
  <si>
    <t>ETAPA 2 - CORREGEDORIA - Monitor</t>
  </si>
  <si>
    <t>ETAPA 2 - CORREGEDORIA - Nobreak:  Peça/</t>
  </si>
  <si>
    <t>ETAPA 2 - CORREGEDORIA - Televisão: - 50</t>
  </si>
  <si>
    <t>ETAPA 3  ESCOLA - CAFETEIRA INDUSTRIAL</t>
  </si>
  <si>
    <t>ETAPA 3  ESCOLA - CARABINA AIRSOFT-ELÉTR</t>
  </si>
  <si>
    <t>ETAPA 3  ESCOLA - GELADEIRA 340 LITROS</t>
  </si>
  <si>
    <t>ETAPA 3  ESCOLA - MEGAFONE PROFISSIONAL</t>
  </si>
  <si>
    <t>ETAPA 3  ESCOLA - MICROONDAS</t>
  </si>
  <si>
    <t>ETAPA 3  ESCOLA - NOTEBOOK: Ultraportáti</t>
  </si>
  <si>
    <t>ETAPA 3  ESCOLA - PISTOLA AIRSOFT-ELÉTRI</t>
  </si>
  <si>
    <t>ETAPA 3  ESCOLA - PROJETOR DE 34000 - EN</t>
  </si>
  <si>
    <t>Saldo de Economicidade - Despesas de Inv</t>
  </si>
  <si>
    <t>ABAFADOR ELETRONICO TIRO ESPORTIVO</t>
  </si>
  <si>
    <t>45.0</t>
  </si>
  <si>
    <t>ALVOS SILHUETA HUMANOIDE 100 UNIDADES</t>
  </si>
  <si>
    <t>APARADOR DE CHUTE</t>
  </si>
  <si>
    <t>BOLSO MDIVO APH</t>
  </si>
  <si>
    <t>BONECO SIMULDOR DE TREINO</t>
  </si>
  <si>
    <t>CAIXAS DE GRAMPO COM 4000 UNIDADES</t>
  </si>
  <si>
    <t>CAPACETE PROTETOR</t>
  </si>
  <si>
    <t>FACA DE TREINO</t>
  </si>
  <si>
    <t>GRAMPEADOR PROFISSIONAL PARA MADEIRA</t>
  </si>
  <si>
    <t>LUVA DE BOXE</t>
  </si>
  <si>
    <t>LUVA DE MMA</t>
  </si>
  <si>
    <t>MACA TATICA TEMS</t>
  </si>
  <si>
    <t>MALETA PRIMEIROS SOCORROS</t>
  </si>
  <si>
    <t>MANOPLA DE FOCO</t>
  </si>
  <si>
    <t>OCULOS DE PROTEÇÃO TIRO ESPORTIVO</t>
  </si>
  <si>
    <t>PLACAS DE TATAME DE 40MM</t>
  </si>
  <si>
    <t>ROLOS DE OBREIA BRANCA</t>
  </si>
  <si>
    <t>SIMULACRO DE PISTOLA</t>
  </si>
  <si>
    <t>SUPORTE PARA SACO DE PANCADA</t>
  </si>
  <si>
    <t>TONIQUETE</t>
  </si>
  <si>
    <t>AR CONDICIONADO JANELA 18.000 BTUs</t>
  </si>
  <si>
    <t>AR CONDICIONADO SPLIT 18.000 BTUs</t>
  </si>
  <si>
    <t>AR CONDICIONADO SPLIT 50.000 BTUs</t>
  </si>
  <si>
    <t>ARMÁRIO ESCRITÓRIO 2 PORTAS</t>
  </si>
  <si>
    <t>ARQUIVO DE FERRO 4 GAVETAS</t>
  </si>
  <si>
    <t>BEBEDOURO INDUSTRIAL 100L</t>
  </si>
  <si>
    <t>BEBEDOURO INDUSTRIAL 50L</t>
  </si>
  <si>
    <t>BEBEDOURO PURIFICADOR COLUNA</t>
  </si>
  <si>
    <t>BOMBA AUTO ASPIRANTE 2CV</t>
  </si>
  <si>
    <t>CADEIRA ESCRITÓRIO PRESIDENTE</t>
  </si>
  <si>
    <t>26.0</t>
  </si>
  <si>
    <t>CAMERA EOSREBEL SL3 COM LENTE EF-S18-55MM</t>
  </si>
  <si>
    <t>COLCHÃO DESOLTEIRO</t>
  </si>
  <si>
    <t>CONJUNTO MESA ECADEIRA ESCOLAR</t>
  </si>
  <si>
    <t>DESFIBRILADOR EXTERNO AUTOMÁTICO DEA)</t>
  </si>
  <si>
    <t>ESTABILIZADOR</t>
  </si>
  <si>
    <t>FRIGOBAR</t>
  </si>
  <si>
    <t>GAVETEIRO 4 GAVETAS</t>
  </si>
  <si>
    <t>GRAVADOR ZOOM H4NPRO</t>
  </si>
  <si>
    <t>LONGARINA 4 LUGARES</t>
  </si>
  <si>
    <t>MANEQUIM DE TREINAMENTO RCP</t>
  </si>
  <si>
    <t>MANEQUIM DE TREINAMENTO RCPBEBE</t>
  </si>
  <si>
    <t>MESA ESCRITÓRIOCOM GAVETA</t>
  </si>
  <si>
    <t>MESA REFEITÓRIO 8 LUGARES</t>
  </si>
  <si>
    <t>MICROFONE LAPELA</t>
  </si>
  <si>
    <t>MICROONDAS</t>
  </si>
  <si>
    <t xml:space="preserve">MINIBUS PARA ATENDIMENTO DE CIDADÕES IN </t>
  </si>
  <si>
    <t>NOTEBOOK 14'</t>
  </si>
  <si>
    <t>PICK UP</t>
  </si>
  <si>
    <t>PLACA PABX 16RAMAIS</t>
  </si>
  <si>
    <t>PROJETOR INTERATIVO</t>
  </si>
  <si>
    <t>RING LIGHT 18' +TRIPÉ</t>
  </si>
  <si>
    <t>SALDO DE RENDIMENTO COMPLEMENTAÇÃO DOS V</t>
  </si>
  <si>
    <t>SALDO REMANESCENTE - AQUISIÇÃO</t>
  </si>
  <si>
    <t>SIMULADORDEA</t>
  </si>
  <si>
    <t>TELEFONE SEM FIO</t>
  </si>
  <si>
    <t>TENDAS BRANCAS DE PRAIA 3X3M</t>
  </si>
  <si>
    <t>TRIPÉ MANFROTTOBEFREE ADVANCEDMK BFRLA4BK-BH</t>
  </si>
  <si>
    <t>TV SMART 55' 4K</t>
  </si>
  <si>
    <t>VENTILADOR 50 CM PAREDE</t>
  </si>
  <si>
    <t>Contratação de Serviços de Desenvolvimen</t>
  </si>
  <si>
    <t>Ar Condicionado Split 9000 BTUs (OUVIDORIA)</t>
  </si>
  <si>
    <t>Ar condicionado Split 18000 BTUs (ESCOLA)</t>
  </si>
  <si>
    <t>Ar condicionado Split 24000 BTUs (CORREG</t>
  </si>
  <si>
    <t>Ar condicionado Split 36000 BTUs (ESCOLA)</t>
  </si>
  <si>
    <t xml:space="preserve">Cadeira Longarina plástica 03 Lugares - </t>
  </si>
  <si>
    <t>Cadeira Secretária Fixa, Preta, pé palit</t>
  </si>
  <si>
    <t>Cafeteira Elétrica Tradicional Industria</t>
  </si>
  <si>
    <t>Computador Desktop (OUVIDORIA)</t>
  </si>
  <si>
    <t>Forno de Microondas - 20L  Branco (OUVID</t>
  </si>
  <si>
    <t>Forno de Microondas - 32 litros - Branco</t>
  </si>
  <si>
    <t>Fragmentadora de Papel  150 folhas (OUVI</t>
  </si>
  <si>
    <t>Frigobar 71L (OUVIDORIA)</t>
  </si>
  <si>
    <t>Geladeira frost free duplex 400 litros (</t>
  </si>
  <si>
    <t>Gravador de áudio digital 32GB (OUVIDORIA)</t>
  </si>
  <si>
    <t>HD Externo 2TB (OUVIDORIA)</t>
  </si>
  <si>
    <t>Impressora multifuncional  Tanque de Tin</t>
  </si>
  <si>
    <t>Impressora multifuncional laser colorida</t>
  </si>
  <si>
    <t xml:space="preserve">Kit videoconferência (CORREGEDORIA - 03 </t>
  </si>
  <si>
    <t>Mesa Escritório REDONDA - 1,20m (OUVIDORIA)</t>
  </si>
  <si>
    <t>Mesa de Centro (CORREGEDORIA)</t>
  </si>
  <si>
    <t>Nobreak 1200VA (OUVIDORIA)</t>
  </si>
  <si>
    <t>Notebook (OUVIDORIA)</t>
  </si>
  <si>
    <t>Pen drive 64Gb (OUVIDORIA)</t>
  </si>
  <si>
    <t>Poltronas (CORREGEDORIA)</t>
  </si>
  <si>
    <t>Projetor Multimídia 3.000 lumens (OUVIDORIA)</t>
  </si>
  <si>
    <t>Quadro lousa branca 250x120cm (ESCOLA)</t>
  </si>
  <si>
    <t>Sofá 3 lugares (CORREGEDORIA)</t>
  </si>
  <si>
    <t>Suplementação de Valor - Aquisição de Fo</t>
  </si>
  <si>
    <t>Tapete (CORREGEDORIA)</t>
  </si>
  <si>
    <t xml:space="preserve">Tela de projeção 2x2 retrátil com tripé </t>
  </si>
  <si>
    <t>Televisão 50 (CORREGEDORIA - 03 UN. E OU</t>
  </si>
  <si>
    <t>Webcam full HD (OUVIDORIA)</t>
  </si>
  <si>
    <t>Item 002 - Equipamento de captura de ima</t>
  </si>
  <si>
    <t>Item 021 - Saldo remanescente Consumo</t>
  </si>
  <si>
    <t xml:space="preserve">Item 001 - Veículo Completo Automático, </t>
  </si>
  <si>
    <t xml:space="preserve">Item 003 - Câmera digital 4k 60 fps, 6k </t>
  </si>
  <si>
    <t>Item 004 - Câmera de ação homônima à Pro</t>
  </si>
  <si>
    <t>Item 005 - Automóvel zero quilômetro, an</t>
  </si>
  <si>
    <t>Item 006 - Drone com resolução de captur</t>
  </si>
  <si>
    <t>Item 007 - Filmadora profissional 4k com</t>
  </si>
  <si>
    <t>Item 008 - Gravador e reprodutor digital</t>
  </si>
  <si>
    <t>Item 009 - Headset com microfone, driver</t>
  </si>
  <si>
    <t xml:space="preserve">Item 010 - Kit com 2 softbox quádruplos </t>
  </si>
  <si>
    <t>Item 011 - Mesa de Som 12 canais profiss</t>
  </si>
  <si>
    <t>Item 012 - Microfone Condensador, microf</t>
  </si>
  <si>
    <t xml:space="preserve">Item 013 - Microfone Direcional Estéreo </t>
  </si>
  <si>
    <t>Item 014 - Microfone lapela sem fio omni</t>
  </si>
  <si>
    <t>Item 015 - Monitor de 34 ', resolução de</t>
  </si>
  <si>
    <t>Item 016 - Notebook com processador de n</t>
  </si>
  <si>
    <t>Item 017 - Microcomputador desktop com p</t>
  </si>
  <si>
    <t>Item 018 - Refletor led com suporte trip</t>
  </si>
  <si>
    <t>Item 019 - Tablet com no mínimo 512GB de</t>
  </si>
  <si>
    <t>Item 020 - Teleprompter portátil dobráve</t>
  </si>
  <si>
    <t>Item 022 - Saldo remanescente Capital</t>
  </si>
  <si>
    <t>Contratação de Bolsa - Aluno Ouvidoria I</t>
  </si>
  <si>
    <t>Contratação de Bolsa -Coordenador Ouvid</t>
  </si>
  <si>
    <t>Contratação de Bolsa -Pesquisador Ouvid</t>
  </si>
  <si>
    <t>Mesa plataforma simples - 1 lugar</t>
  </si>
  <si>
    <t>Armário alto com 02 portas e prateleiras</t>
  </si>
  <si>
    <t>Armário baixo 2 portas</t>
  </si>
  <si>
    <t>Notebook com tela de 15'</t>
  </si>
  <si>
    <t>Púlpito para auditório</t>
  </si>
  <si>
    <t>Sofá de espera, 1(um) lugar</t>
  </si>
  <si>
    <t>Sofá de espera, 2(dois) lugares</t>
  </si>
  <si>
    <t>Agenda Planner</t>
  </si>
  <si>
    <t>Contratação de serviços de digitalização</t>
  </si>
  <si>
    <t>Serviço de operacionalização de sistema</t>
  </si>
  <si>
    <t>Câmera Digital, para a Ouvidoria</t>
  </si>
  <si>
    <t>Estação de Trabalho (Mesa em L), para Ou</t>
  </si>
  <si>
    <t>Gaveteiros, Ouvidoria</t>
  </si>
  <si>
    <t>ETAPA 2 - CORREGEDORIA - Tablet, tela 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</si>
</sst>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[$R$-416]\ * #,##0.000_-;\-[$R$-416]\ * #,##0.000_-;_-[$R$-416]\ * &quot;-&quot;??_-;_-@_-"/>
  </numFmts>
  <fonts count="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theme="9" tint="0.39997558519241921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theme="9" tint="0.39997558519241921"/>
      </top>
      <bottom/>
      <diagonal/>
    </border>
    <border>
      <left/>
      <right style="thin">
        <color rgb="FFFF0000"/>
      </right>
      <top style="thin">
        <color theme="9" tint="0.3999755851924192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 style="thin">
        <color rgb="FFFF0000"/>
      </top>
      <bottom/>
      <diagonal/>
    </border>
    <border>
      <left style="medium">
        <color rgb="FFFF0000"/>
      </left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44" fontId="0" fillId="0" borderId="0" xfId="2" applyFont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5" fontId="0" fillId="0" borderId="0" xfId="0" applyNumberFormat="1"/>
    <xf numFmtId="165" fontId="1" fillId="2" borderId="3" xfId="0" applyNumberFormat="1" applyFon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4" fontId="0" fillId="0" borderId="0" xfId="2" applyFont="1"/>
    <xf numFmtId="44" fontId="1" fillId="2" borderId="2" xfId="2" applyFont="1" applyFill="1" applyBorder="1" applyAlignment="1">
      <alignment horizontal="center" vertical="center"/>
    </xf>
    <xf numFmtId="44" fontId="1" fillId="2" borderId="2" xfId="2" applyFon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/>
    </xf>
    <xf numFmtId="44" fontId="0" fillId="3" borderId="2" xfId="2" applyFont="1" applyFill="1" applyBorder="1" applyAlignment="1">
      <alignment horizontal="center" vertical="center"/>
    </xf>
    <xf numFmtId="9" fontId="0" fillId="3" borderId="2" xfId="1" applyFont="1" applyFill="1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44" fontId="0" fillId="3" borderId="9" xfId="2" applyFont="1" applyFill="1" applyBorder="1"/>
    <xf numFmtId="44" fontId="0" fillId="0" borderId="9" xfId="2" applyFont="1" applyBorder="1"/>
    <xf numFmtId="0" fontId="0" fillId="3" borderId="8" xfId="0" applyFill="1" applyBorder="1" applyAlignment="1">
      <alignment horizontal="center" vertical="center"/>
    </xf>
    <xf numFmtId="44" fontId="0" fillId="0" borderId="10" xfId="2" applyFont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44" fontId="0" fillId="3" borderId="10" xfId="2" applyFont="1" applyFill="1" applyBorder="1"/>
    <xf numFmtId="44" fontId="1" fillId="2" borderId="14" xfId="2" applyFont="1" applyFill="1" applyBorder="1" applyAlignment="1">
      <alignment horizontal="center" vertical="center" wrapText="1"/>
    </xf>
    <xf numFmtId="44" fontId="1" fillId="2" borderId="15" xfId="2" applyFont="1" applyFill="1" applyBorder="1" applyAlignment="1">
      <alignment horizontal="center" vertical="center" wrapText="1"/>
    </xf>
    <xf numFmtId="44" fontId="0" fillId="3" borderId="16" xfId="2" applyFont="1" applyFill="1" applyBorder="1" applyAlignment="1">
      <alignment horizontal="center" vertical="center"/>
    </xf>
    <xf numFmtId="44" fontId="0" fillId="3" borderId="17" xfId="2" applyFont="1" applyFill="1" applyBorder="1" applyAlignment="1">
      <alignment horizontal="center" vertical="center"/>
    </xf>
    <xf numFmtId="44" fontId="1" fillId="2" borderId="12" xfId="2" applyFont="1" applyFill="1" applyBorder="1" applyAlignment="1">
      <alignment horizontal="center" vertical="center" wrapText="1"/>
    </xf>
    <xf numFmtId="44" fontId="0" fillId="3" borderId="13" xfId="2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10" fontId="1" fillId="2" borderId="2" xfId="1" applyNumberFormat="1" applyFont="1" applyFill="1" applyBorder="1" applyAlignment="1">
      <alignment horizontal="center" vertical="center" wrapText="1"/>
    </xf>
    <xf numFmtId="10" fontId="0" fillId="3" borderId="2" xfId="1" applyNumberFormat="1" applyFont="1" applyFill="1" applyBorder="1" applyAlignment="1">
      <alignment horizontal="center" vertical="center"/>
    </xf>
    <xf numFmtId="10" fontId="0" fillId="0" borderId="11" xfId="1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4" borderId="0" xfId="0" applyFill="1" applyAlignment="1">
      <alignment horizontal="center"/>
    </xf>
    <xf numFmtId="9" fontId="5" fillId="2" borderId="18" xfId="1" applyFont="1" applyFill="1" applyBorder="1" applyAlignment="1">
      <alignment horizontal="center" vertical="center" wrapText="1"/>
    </xf>
    <xf numFmtId="44" fontId="0" fillId="3" borderId="19" xfId="0" applyNumberFormat="1" applyFill="1" applyBorder="1" applyAlignment="1">
      <alignment horizontal="center"/>
    </xf>
    <xf numFmtId="44" fontId="0" fillId="3" borderId="20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1" applyNumberFormat="1" applyFont="1" applyBorder="1" applyAlignment="1">
      <alignment horizontal="center" vertical="center"/>
    </xf>
    <xf numFmtId="44" fontId="0" fillId="0" borderId="0" xfId="2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0" fillId="0" borderId="0" xfId="0" applyNumberFormat="1"/>
    <xf numFmtId="44" fontId="6" fillId="5" borderId="21" xfId="2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44" fontId="1" fillId="2" borderId="21" xfId="2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44" fontId="0" fillId="0" borderId="21" xfId="2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44" fontId="6" fillId="5" borderId="22" xfId="2" applyFont="1" applyFill="1" applyBorder="1" applyAlignment="1">
      <alignment horizontal="center" vertical="center"/>
    </xf>
    <xf numFmtId="44" fontId="1" fillId="2" borderId="22" xfId="2" applyFont="1" applyFill="1" applyBorder="1" applyAlignment="1">
      <alignment horizontal="center" vertical="center" wrapText="1"/>
    </xf>
    <xf numFmtId="44" fontId="0" fillId="0" borderId="22" xfId="2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44" fontId="1" fillId="2" borderId="27" xfId="2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4" fontId="0" fillId="0" borderId="27" xfId="2" applyFont="1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4" fontId="0" fillId="0" borderId="30" xfId="2" applyFont="1" applyFill="1" applyBorder="1" applyAlignment="1">
      <alignment horizontal="center" vertical="center"/>
    </xf>
    <xf numFmtId="44" fontId="6" fillId="5" borderId="31" xfId="2" applyFont="1" applyFill="1" applyBorder="1" applyAlignment="1">
      <alignment horizontal="center" vertical="center"/>
    </xf>
    <xf numFmtId="44" fontId="1" fillId="2" borderId="31" xfId="2" applyFont="1" applyFill="1" applyBorder="1" applyAlignment="1">
      <alignment horizontal="center" vertical="center" wrapText="1"/>
    </xf>
    <xf numFmtId="44" fontId="0" fillId="0" borderId="31" xfId="2" applyFont="1" applyFill="1" applyBorder="1" applyAlignment="1">
      <alignment horizontal="center" vertical="center"/>
    </xf>
    <xf numFmtId="10" fontId="1" fillId="2" borderId="26" xfId="1" applyNumberFormat="1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10" fontId="0" fillId="0" borderId="26" xfId="1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10" fontId="0" fillId="0" borderId="28" xfId="1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10" fontId="1" fillId="2" borderId="33" xfId="1" applyNumberFormat="1" applyFont="1" applyFill="1" applyBorder="1" applyAlignment="1">
      <alignment horizontal="center" vertical="center" wrapText="1"/>
    </xf>
    <xf numFmtId="10" fontId="0" fillId="0" borderId="34" xfId="1" applyNumberFormat="1" applyFont="1" applyFill="1" applyBorder="1" applyAlignment="1">
      <alignment horizontal="center" vertical="center"/>
    </xf>
    <xf numFmtId="10" fontId="0" fillId="0" borderId="35" xfId="1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44" fontId="0" fillId="0" borderId="8" xfId="2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4" fontId="0" fillId="8" borderId="2" xfId="0" applyNumberForma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44" fontId="0" fillId="8" borderId="2" xfId="2" applyFont="1" applyFill="1" applyBorder="1" applyAlignment="1">
      <alignment horizontal="center" vertical="center"/>
    </xf>
    <xf numFmtId="44" fontId="0" fillId="8" borderId="13" xfId="2" applyFont="1" applyFill="1" applyBorder="1" applyAlignment="1">
      <alignment horizontal="center" vertical="center"/>
    </xf>
    <xf numFmtId="9" fontId="0" fillId="8" borderId="2" xfId="1" applyFont="1" applyFill="1" applyBorder="1" applyAlignment="1">
      <alignment horizontal="center" vertical="center"/>
    </xf>
    <xf numFmtId="10" fontId="0" fillId="8" borderId="2" xfId="1" applyNumberFormat="1" applyFont="1" applyFill="1" applyBorder="1" applyAlignment="1">
      <alignment horizontal="center" vertical="center"/>
    </xf>
    <xf numFmtId="44" fontId="0" fillId="8" borderId="20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44" fontId="0" fillId="0" borderId="2" xfId="2" applyFont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10" fontId="6" fillId="5" borderId="23" xfId="1" applyNumberFormat="1" applyFont="1" applyFill="1" applyBorder="1" applyAlignment="1">
      <alignment horizontal="center" vertical="center"/>
    </xf>
    <xf numFmtId="10" fontId="6" fillId="5" borderId="25" xfId="1" applyNumberFormat="1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51"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959-47A0-41AA-B9D2-770F1E5B3E40}">
  <sheetPr>
    <pageSetUpPr fitToPage="1"/>
  </sheetPr>
  <dimension ref="A1:Z25"/>
  <sheetViews>
    <sheetView tabSelected="1" zoomScale="70" zoomScaleNormal="70" workbookViewId="0">
      <selection activeCell="H23" sqref="H23"/>
    </sheetView>
  </sheetViews>
  <sheetFormatPr defaultColWidth="9" defaultRowHeight="15.6" x14ac:dyDescent="0.3"/>
  <cols>
    <col min="1" max="1" width="4.8984375" style="1" customWidth="1"/>
    <col min="2" max="2" width="15.3984375" style="1" customWidth="1"/>
    <col min="3" max="3" width="10.5" style="1" customWidth="1"/>
    <col min="4" max="4" width="6.59765625" style="1" customWidth="1"/>
    <col min="5" max="5" width="20" style="1" customWidth="1"/>
    <col min="6" max="6" width="13.8984375" style="22" customWidth="1"/>
    <col min="7" max="7" width="7.5" style="1" customWidth="1"/>
    <col min="8" max="8" width="15.59765625" style="1" customWidth="1"/>
    <col min="9" max="9" width="22" style="20" customWidth="1"/>
    <col min="10" max="10" width="22.59765625" style="20" customWidth="1"/>
    <col min="11" max="11" width="21.69921875" style="20" customWidth="1"/>
    <col min="12" max="12" width="21.59765625" style="20" customWidth="1"/>
    <col min="13" max="13" width="17" style="20" customWidth="1"/>
    <col min="14" max="16" width="19.59765625" style="20" customWidth="1"/>
    <col min="17" max="17" width="29.19921875" style="20" customWidth="1"/>
    <col min="18" max="18" width="17.69921875" style="20" customWidth="1"/>
    <col min="19" max="21" width="21.69921875" style="20" customWidth="1"/>
    <col min="22" max="22" width="16.19921875" style="76" customWidth="1"/>
    <col min="23" max="23" width="10.8984375" style="76" bestFit="1" customWidth="1"/>
    <col min="24" max="24" width="14.19921875" style="76" customWidth="1"/>
    <col min="25" max="25" width="13" style="76" customWidth="1"/>
    <col min="26" max="26" width="21.69921875" style="2" customWidth="1"/>
    <col min="27" max="16384" width="9" style="2"/>
  </cols>
  <sheetData>
    <row r="1" spans="1:26" s="4" customFormat="1" ht="62.4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1" t="s">
        <v>5</v>
      </c>
      <c r="G1" s="19" t="s">
        <v>6</v>
      </c>
      <c r="H1" s="71" t="s">
        <v>7</v>
      </c>
      <c r="I1" s="48" t="s">
        <v>8</v>
      </c>
      <c r="J1" s="48" t="s">
        <v>9</v>
      </c>
      <c r="K1" s="49" t="s">
        <v>10</v>
      </c>
      <c r="L1" s="49" t="s">
        <v>11</v>
      </c>
      <c r="M1" s="49" t="s">
        <v>12</v>
      </c>
      <c r="N1" s="69" t="s">
        <v>13</v>
      </c>
      <c r="O1" s="65" t="s">
        <v>14</v>
      </c>
      <c r="P1" s="66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  <c r="V1" s="73" t="s">
        <v>21</v>
      </c>
      <c r="W1" s="73" t="s">
        <v>22</v>
      </c>
      <c r="X1" s="73" t="s">
        <v>23</v>
      </c>
      <c r="Y1" s="73" t="s">
        <v>24</v>
      </c>
      <c r="Z1" s="78" t="s">
        <v>25</v>
      </c>
    </row>
    <row r="2" spans="1:26" x14ac:dyDescent="0.3">
      <c r="A2" s="11" t="s">
        <v>26</v>
      </c>
      <c r="B2" s="12" t="s">
        <v>27</v>
      </c>
      <c r="C2" s="12">
        <v>937698</v>
      </c>
      <c r="D2" s="12">
        <v>2022</v>
      </c>
      <c r="E2" s="12" t="s">
        <v>28</v>
      </c>
      <c r="F2" s="50">
        <v>46484</v>
      </c>
      <c r="G2" s="12">
        <v>3</v>
      </c>
      <c r="H2" s="72" t="s">
        <v>29</v>
      </c>
      <c r="I2" s="51">
        <v>392509.71</v>
      </c>
      <c r="J2" s="51">
        <v>356000</v>
      </c>
      <c r="K2" s="51">
        <v>36509.71</v>
      </c>
      <c r="L2" s="51">
        <v>356000</v>
      </c>
      <c r="M2" s="51"/>
      <c r="N2" s="70">
        <v>53258.81</v>
      </c>
      <c r="O2" s="67">
        <f t="shared" ref="O2:O16" ca="1" si="0">IFERROR(SUMIFS(INDIRECT("'"&amp;$A2&amp;"'!M:M"),INDIRECT("'"&amp;$A2&amp;"'!F:F"),"CAPITAL"),0)</f>
        <v>6831.5499999999965</v>
      </c>
      <c r="P2" s="68">
        <f t="shared" ref="P2:P16" ca="1" si="1">IFERROR(SUMIFS(INDIRECT("'"&amp;$A2&amp;"'!M:M"),INDIRECT("'"&amp;$A2&amp;"'!F:F"),"CUSTEIO"),0)</f>
        <v>46000.39</v>
      </c>
      <c r="Q2" s="51">
        <v>36509.71</v>
      </c>
      <c r="R2" s="51">
        <f>N3</f>
        <v>26067.41</v>
      </c>
      <c r="S2" s="51">
        <f>IFERROR(SUMIFS(MT!$J:$J, MT!$E:$E, "OUVIDORIA", MT!$A:$A, $A2, MT!$C:$C, $C2), 0)</f>
        <v>119503.74</v>
      </c>
      <c r="T2" s="51">
        <f>IFERROR(SUMIFS(MT!$J:$J, MT!$E:$E, "CORREGEDORIA", MT!$A:$A, $A2, MT!$C:$C, $C2), 0)</f>
        <v>108156</v>
      </c>
      <c r="U2" s="51">
        <f>IFERROR(SUMIFS(MT!$J:$J, MT!$E:$E, "ESCOLA PENAL", MT!$A:$A, $A2, MT!$C:$C, $C2), 0)</f>
        <v>164850</v>
      </c>
      <c r="V2" s="52">
        <f t="shared" ref="V2:V16" si="2">IFERROR($S2/$I2,0)</f>
        <v>0.30446059538246839</v>
      </c>
      <c r="W2" s="74">
        <f>IF($S2&lt;=0,0, SUMIFS(MT!$K:$K, MT!$E:$E, "OUVIDORIA", MT!$A:$A, $A2, MT!$C:$C, $C2) / $S2)</f>
        <v>0.59108786051382145</v>
      </c>
      <c r="X2" s="74">
        <f>IF($T2&lt;=0,0, SUMIFS(MT!$K:$K, MT!$E:$E, "CORREGEDORIA", MT!$A:$A, $A2, MT!$C:$C, $C2) / $T2)</f>
        <v>0.9427739561374312</v>
      </c>
      <c r="Y2" s="74">
        <f>IF($U2&lt;=0,0, SUMIFS(MT!$K:$K, MT!$E:$E, "ESCOLA PENAL", MT!$A:$A, $A2, MT!$C:$C, $C2) / $U2)</f>
        <v>1</v>
      </c>
      <c r="Z2" s="79">
        <f t="shared" ref="Z2:Z16" ca="1" si="3">N2+O2+P2</f>
        <v>106090.75</v>
      </c>
    </row>
    <row r="3" spans="1:26" x14ac:dyDescent="0.3">
      <c r="A3" s="11" t="s">
        <v>30</v>
      </c>
      <c r="B3" s="12" t="s">
        <v>27</v>
      </c>
      <c r="C3" s="12">
        <v>937216</v>
      </c>
      <c r="D3" s="12">
        <v>2022</v>
      </c>
      <c r="E3" s="12" t="s">
        <v>31</v>
      </c>
      <c r="F3" s="50">
        <v>46484</v>
      </c>
      <c r="G3" s="12">
        <v>1</v>
      </c>
      <c r="H3" s="72" t="s">
        <v>29</v>
      </c>
      <c r="I3" s="51">
        <v>388852.47999999998</v>
      </c>
      <c r="J3" s="51">
        <v>384963.95</v>
      </c>
      <c r="K3" s="51">
        <v>3888.53</v>
      </c>
      <c r="L3" s="51">
        <v>384963.95</v>
      </c>
      <c r="M3" s="51"/>
      <c r="N3" s="70">
        <v>26067.41</v>
      </c>
      <c r="O3" s="67">
        <f t="shared" ca="1" si="0"/>
        <v>57725.21</v>
      </c>
      <c r="P3" s="68">
        <f t="shared" ca="1" si="1"/>
        <v>0</v>
      </c>
      <c r="Q3" s="51">
        <v>3888.53</v>
      </c>
      <c r="R3" s="51">
        <f>IFERROR(SUMIFS(GO!$K:$K, GO!$A:$A, $A3, GO!$C:$C, $C3), 0)</f>
        <v>323819.26999999996</v>
      </c>
      <c r="S3" s="51">
        <f>IFERROR(SUMIFS(GO!$J:$J, GO!$E:$E, "OUVIDORIA", GO!$A:$A, $A3, GO!$C:$C, $C3), 0)</f>
        <v>106486</v>
      </c>
      <c r="T3" s="51">
        <f>IFERROR(SUMIFS(GO!$J:$J, GO!$E:$E, "CORREGEDORIA", GO!$A:$A, $A3, GO!$C:$C, $C3), 0)</f>
        <v>87246.81</v>
      </c>
      <c r="U3" s="51">
        <f>IFERROR(SUMIFS(GO!$J:$J, GO!$E:$E, "ESCOLA PENAL", GO!$A:$A, $A3, GO!$C:$C, $C3), 0)</f>
        <v>161086.32999999993</v>
      </c>
      <c r="V3" s="52">
        <f t="shared" si="2"/>
        <v>0.27384678117521588</v>
      </c>
      <c r="W3" s="74">
        <f>IF($S3&lt;=0,0, SUMIFS(GO!$K:$K, GO!$E:$E, "OUVIDORIA", GO!$A:$A, $A3, GO!$C:$C, $C3) / $S3)</f>
        <v>1</v>
      </c>
      <c r="X3" s="74">
        <f>IF($T3&lt;=0,0, SUMIFS(GO!$K:$K, GO!$E:$E, "CORREGEDORIA", GO!$A:$A, $A3, GO!$C:$C, $C3) / $T3)</f>
        <v>0.73634978745927793</v>
      </c>
      <c r="Y3" s="74">
        <f>IF($U3&lt;=0,0, SUMIFS(GO!$K:$K, GO!$E:$E, "ESCOLA PENAL", GO!$A:$A, $A3, GO!$C:$C, $C3) / $U3)</f>
        <v>0.95035438450922627</v>
      </c>
      <c r="Z3" s="80">
        <f t="shared" ca="1" si="3"/>
        <v>83792.62</v>
      </c>
    </row>
    <row r="4" spans="1:26" x14ac:dyDescent="0.3">
      <c r="A4" s="141" t="s">
        <v>32</v>
      </c>
      <c r="B4" s="142" t="s">
        <v>27</v>
      </c>
      <c r="C4" s="142">
        <v>937871</v>
      </c>
      <c r="D4" s="142">
        <v>2022</v>
      </c>
      <c r="E4" s="142" t="s">
        <v>33</v>
      </c>
      <c r="F4" s="50">
        <v>46484</v>
      </c>
      <c r="G4" s="142">
        <v>1</v>
      </c>
      <c r="H4" s="144" t="s">
        <v>29</v>
      </c>
      <c r="I4" s="145">
        <v>861700.16</v>
      </c>
      <c r="J4" s="145">
        <v>794355.17</v>
      </c>
      <c r="K4" s="145">
        <v>16211.33</v>
      </c>
      <c r="L4" s="145">
        <v>794355.17</v>
      </c>
      <c r="M4" s="145">
        <v>51133.66</v>
      </c>
      <c r="N4" s="146">
        <v>28124.68</v>
      </c>
      <c r="O4" s="67">
        <f t="shared" ca="1" si="0"/>
        <v>45196.700000000004</v>
      </c>
      <c r="P4" s="68">
        <f t="shared" ca="1" si="1"/>
        <v>0</v>
      </c>
      <c r="Q4" s="145">
        <v>16211.33</v>
      </c>
      <c r="R4" s="145">
        <f>IFERROR(SUMIFS(PR!$K:$K, PR!$A:$A, $A4, PR!$C:$C, $C4), 0)</f>
        <v>485239.8</v>
      </c>
      <c r="S4" s="145">
        <f>IFERROR(SUMIFS(PR!$J:$J, PR!$E:$E, "OUVIDORIA", PR!$A:$A, $A4, PR!$C:$C, $C4), 0)</f>
        <v>161317.97999999998</v>
      </c>
      <c r="T4" s="145">
        <f>IFERROR(SUMIFS(PR!$J:$J, PR!$E:$E, "CORREGEDORIA", PR!$A:$A, $A4, PR!$C:$C, $C4), 0)</f>
        <v>322820.85000000003</v>
      </c>
      <c r="U4" s="145">
        <f>IFERROR(SUMIFS(PR!$J:$J, PR!$E:$E, "ESCOLA PENAL", PR!$A:$A, $A4, PR!$C:$C, $C4), 0)</f>
        <v>334677.34999999998</v>
      </c>
      <c r="V4" s="147">
        <f t="shared" si="2"/>
        <v>0.18720894748354228</v>
      </c>
      <c r="W4" s="148">
        <f>IF($S4&lt;=0,0, SUMIFS(PR!$K:$K, PR!$E:$E, "OUVIDORIA", PR!$A:$A, $A4, PR!$C:$C, $C4) / $S4)</f>
        <v>9.6053521126411343E-2</v>
      </c>
      <c r="X4" s="148">
        <f>IF($T4&lt;=0,0, SUMIFS(PR!$K:$K, PR!$E:$E, "CORREGEDORIA", PR!$A:$A, $A4, PR!$C:$C, $C4) / $T4)</f>
        <v>0.79902720038064456</v>
      </c>
      <c r="Y4" s="148">
        <f>IF($U4&lt;=0,0, SUMIFS(PR!$K:$K, PR!$E:$E, "ESCOLA PENAL", PR!$A:$A, $A4, PR!$C:$C, $C4) / $U4)</f>
        <v>0.63285429982040919</v>
      </c>
      <c r="Z4" s="149">
        <f t="shared" ca="1" si="3"/>
        <v>73321.38</v>
      </c>
    </row>
    <row r="5" spans="1:26" s="77" customFormat="1" x14ac:dyDescent="0.3">
      <c r="A5" s="141" t="s">
        <v>34</v>
      </c>
      <c r="B5" s="142" t="s">
        <v>27</v>
      </c>
      <c r="C5" s="142">
        <v>937592</v>
      </c>
      <c r="D5" s="142">
        <v>2022</v>
      </c>
      <c r="E5" s="142" t="s">
        <v>35</v>
      </c>
      <c r="F5" s="50">
        <v>46484</v>
      </c>
      <c r="G5" s="142">
        <v>1</v>
      </c>
      <c r="H5" s="144" t="s">
        <v>29</v>
      </c>
      <c r="I5" s="145">
        <v>300300</v>
      </c>
      <c r="J5" s="145">
        <v>300000</v>
      </c>
      <c r="K5" s="145">
        <v>300</v>
      </c>
      <c r="L5" s="145">
        <v>300000</v>
      </c>
      <c r="M5" s="145"/>
      <c r="N5" s="146">
        <v>14404.99</v>
      </c>
      <c r="O5" s="67">
        <f t="shared" ca="1" si="0"/>
        <v>47225.219999999979</v>
      </c>
      <c r="P5" s="68">
        <f t="shared" ca="1" si="1"/>
        <v>29175</v>
      </c>
      <c r="Q5" s="145">
        <v>300</v>
      </c>
      <c r="R5" s="145">
        <f>IFERROR(SUMIFS(AM!$K$1:$K$24, AM!$A$1:$A$24, $A5, AM!$C$1:$C$24, $C5), 0)</f>
        <v>223899.78</v>
      </c>
      <c r="S5" s="145">
        <f>IFERROR(SUMIFS(AM!$J$1:$J$24, AM!$E$1:$E$24, "OUVIDORIA", AM!$A$1:$A$24, $A5, AM!$C$1:$C$24, $C5), 0)</f>
        <v>57507.979999999996</v>
      </c>
      <c r="T5" s="145">
        <f>IFERROR(SUMIFS(AM!$J$1:$J$24, AM!$E$1:$E$24, "CORREGEDORIA", AM!$A$1:$A$24, $A5, AM!$C$1:$C$24, $C5), 0)</f>
        <v>15129.7</v>
      </c>
      <c r="U5" s="145">
        <f>IFERROR(SUMIFS(AM!$J$1:$J$24, AM!$E$1:$E$24, "ESCOLA PENAL", AM!$A$1:$A$24, $A5, AM!$C$1:$C$24, $C5), 0)</f>
        <v>227662.31999999998</v>
      </c>
      <c r="V5" s="148">
        <f t="shared" si="2"/>
        <v>0.19150176490176488</v>
      </c>
      <c r="W5" s="148">
        <f>IF($S5&lt;=0,0, SUMIFS(AM!$K$1:$K$24, AM!$E$1:$E$24, "OUVIDORIA", AM!$A$1:$A$24, $A5, AM!$C$1:$C$24, $C5) / $S5)</f>
        <v>0.79536770375172283</v>
      </c>
      <c r="X5" s="148">
        <f>IF($T5&lt;=0,0, SUMIFS(AM!$K$1:$K$24, AM!$E$1:$E$24, "CORREGEDORIA", AM!$A$1:$A$24, $A5, AM!$C$1:$C$24, $C5) / $T5)</f>
        <v>0.80371653106142216</v>
      </c>
      <c r="Y5" s="148">
        <f>IF($U5&lt;=0,0, SUMIFS(AM!$K$1:$K$24, AM!$E$1:$E$24, "ESCOLA PENAL", AM!$A$1:$A$24, $A5, AM!$C$1:$C$24, $C5) / $U5)</f>
        <v>0.729149206596858</v>
      </c>
      <c r="Z5" s="149">
        <f t="shared" ca="1" si="3"/>
        <v>90805.209999999977</v>
      </c>
    </row>
    <row r="6" spans="1:26" x14ac:dyDescent="0.3">
      <c r="A6" s="141" t="s">
        <v>37</v>
      </c>
      <c r="B6" s="142" t="s">
        <v>27</v>
      </c>
      <c r="C6" s="142">
        <v>937782</v>
      </c>
      <c r="D6" s="142">
        <v>2022</v>
      </c>
      <c r="E6" s="142" t="s">
        <v>38</v>
      </c>
      <c r="F6" s="50">
        <v>46484</v>
      </c>
      <c r="G6" s="142">
        <v>1</v>
      </c>
      <c r="H6" s="144" t="s">
        <v>29</v>
      </c>
      <c r="I6" s="145">
        <v>396423.71</v>
      </c>
      <c r="J6" s="145">
        <v>396423.71</v>
      </c>
      <c r="K6" s="145">
        <v>5993.71</v>
      </c>
      <c r="L6" s="145">
        <v>150000</v>
      </c>
      <c r="M6" s="145"/>
      <c r="N6" s="146">
        <v>21564.61</v>
      </c>
      <c r="O6" s="67">
        <f t="shared" ca="1" si="0"/>
        <v>10533.100000000002</v>
      </c>
      <c r="P6" s="68">
        <f t="shared" ca="1" si="1"/>
        <v>0</v>
      </c>
      <c r="Q6" s="145">
        <v>3593.71</v>
      </c>
      <c r="R6" s="145">
        <f>IFERROR(SUMIFS(AC!$K:$K, AC!$A:$A, $A6, AC!$C:$C, $C6), 0)</f>
        <v>97141.550000000017</v>
      </c>
      <c r="S6" s="145">
        <f>IFERROR(SUMIFS(AC!$J:$J, AC!$E:$E, "OUVIDORIA", AC!$A:$A, $A6, AC!$C:$C, $C6), 0)</f>
        <v>242142.01</v>
      </c>
      <c r="T6" s="145">
        <f>IFERROR(SUMIFS(AC!$J:$J, AC!$E:$E, "CORREGEDORIA", AC!$A:$A, $A6, AC!$C:$C, $C6), 0)</f>
        <v>44590.759999999995</v>
      </c>
      <c r="U6" s="145">
        <f>IFERROR(SUMIFS(AC!$J:$J, AC!$E:$E, "ESCOLA PENAL", AC!$A:$A, $A6, AC!$C:$C, $C6), 0)</f>
        <v>109681.1</v>
      </c>
      <c r="V6" s="147">
        <f t="shared" si="2"/>
        <v>0.61081616435101727</v>
      </c>
      <c r="W6" s="148">
        <f>IF($S6&lt;=0,0, SUMIFS(AC!$K:$K, AC!$E:$E, "OUVIDORIA", AC!$A:$A, $A6, AC!$C:$C, $C6) / $S6)</f>
        <v>0.14701595976675008</v>
      </c>
      <c r="X6" s="148">
        <f>IF($T6&lt;=0,0, SUMIFS(AC!$K:$K, AC!$E:$E, "CORREGEDORIA", AC!$A:$A, $A6, AC!$C:$C, $C6) / $T6)</f>
        <v>0.85938813332627673</v>
      </c>
      <c r="Y6" s="148">
        <f>IF($U6&lt;=0,0, SUMIFS(AC!$K:$K, AC!$E:$E, "ESCOLA PENAL", AC!$A:$A, $A6, AC!$C:$C, $C6) / $U6)</f>
        <v>0.21172325952237897</v>
      </c>
      <c r="Z6" s="149">
        <f t="shared" ca="1" si="3"/>
        <v>32097.710000000003</v>
      </c>
    </row>
    <row r="7" spans="1:26" x14ac:dyDescent="0.3">
      <c r="A7" s="141" t="s">
        <v>40</v>
      </c>
      <c r="B7" s="142" t="s">
        <v>27</v>
      </c>
      <c r="C7" s="142">
        <v>937265</v>
      </c>
      <c r="D7" s="142">
        <v>2022</v>
      </c>
      <c r="E7" s="142" t="s">
        <v>41</v>
      </c>
      <c r="F7" s="143">
        <v>46484</v>
      </c>
      <c r="G7" s="142">
        <v>1</v>
      </c>
      <c r="H7" s="144" t="s">
        <v>29</v>
      </c>
      <c r="I7" s="145">
        <v>548000</v>
      </c>
      <c r="J7" s="145">
        <v>537040</v>
      </c>
      <c r="K7" s="145">
        <v>10960</v>
      </c>
      <c r="L7" s="145">
        <v>537040</v>
      </c>
      <c r="M7" s="145"/>
      <c r="N7" s="146">
        <v>65876.009999999995</v>
      </c>
      <c r="O7" s="67">
        <f t="shared" ca="1" si="0"/>
        <v>-79290.13</v>
      </c>
      <c r="P7" s="68">
        <f t="shared" ca="1" si="1"/>
        <v>0</v>
      </c>
      <c r="Q7" s="145">
        <v>10960</v>
      </c>
      <c r="R7" s="145">
        <f>IFERROR(SUMIFS(MS!$K:$K, MS!$A:$A, $A7, MS!$C:$C, $C7), 0)</f>
        <v>311441.87999999995</v>
      </c>
      <c r="S7" s="145">
        <f>IFERROR(SUMIFS(MS!$J:$J, MS!$E:$E, "OUVIDORIA", MS!$A:$A, $A7, MS!$C:$C, $C7), 0)</f>
        <v>127595.46999999999</v>
      </c>
      <c r="T7" s="145">
        <f>IFERROR(SUMIFS(MS!$J:$J, MS!$E:$E, "CORREGEDORIA", MS!$A:$A, $A7, MS!$C:$C, $C7), 0)</f>
        <v>120294.2</v>
      </c>
      <c r="U7" s="145">
        <f>IFERROR(SUMIFS(MS!$J:$J, MS!$E:$E, "ESCOLA PENAL", MS!$A:$A, $A7, MS!$C:$C, $C7), 0)</f>
        <v>300110.32999999996</v>
      </c>
      <c r="V7" s="147">
        <f t="shared" si="2"/>
        <v>0.23283844890510946</v>
      </c>
      <c r="W7" s="148">
        <f>IF($S7&lt;=0,0, SUMIFS(MS!$K:$K, MS!$E:$E, "OUVIDORIA", MS!$A:$A, $A7, MS!$C:$C, $C7) / $S7)</f>
        <v>0.71172816715201581</v>
      </c>
      <c r="X7" s="148">
        <f>IF($T7&lt;=0,0, SUMIFS(MS!$K:$K, MS!$E:$E, "CORREGEDORIA", MS!$A:$A, $A7, MS!$C:$C, $C7) / $T7)</f>
        <v>6.3471888087704986E-2</v>
      </c>
      <c r="Y7" s="148">
        <f>IF($U7&lt;=0,0, SUMIFS(MS!$K:$K, MS!$E:$E, "ESCOLA PENAL", MS!$A:$A, $A7, MS!$C:$C, $C7) / $U7)</f>
        <v>0.70971662321653506</v>
      </c>
      <c r="Z7" s="149">
        <f t="shared" ca="1" si="3"/>
        <v>-13414.12000000001</v>
      </c>
    </row>
    <row r="8" spans="1:26" x14ac:dyDescent="0.3">
      <c r="A8" s="141" t="s">
        <v>42</v>
      </c>
      <c r="B8" s="142" t="s">
        <v>27</v>
      </c>
      <c r="C8" s="142">
        <v>938128</v>
      </c>
      <c r="D8" s="142">
        <v>2022</v>
      </c>
      <c r="E8" s="142" t="s">
        <v>43</v>
      </c>
      <c r="F8" s="143">
        <v>46752</v>
      </c>
      <c r="G8" s="142">
        <v>1</v>
      </c>
      <c r="H8" s="144" t="s">
        <v>29</v>
      </c>
      <c r="I8" s="145">
        <v>3846559.5</v>
      </c>
      <c r="J8" s="145">
        <v>3769628.31</v>
      </c>
      <c r="K8" s="145">
        <v>76931.19</v>
      </c>
      <c r="L8" s="145">
        <v>3769628.31</v>
      </c>
      <c r="M8" s="145"/>
      <c r="N8" s="146">
        <v>528436.85</v>
      </c>
      <c r="O8" s="67">
        <f t="shared" ca="1" si="0"/>
        <v>887731.15</v>
      </c>
      <c r="P8" s="68">
        <f t="shared" ca="1" si="1"/>
        <v>400731.50000000006</v>
      </c>
      <c r="Q8" s="145">
        <v>76931.19</v>
      </c>
      <c r="R8" s="145">
        <f>IFERROR(SUMIFS(SP!$K:$K, SP!$A:$A, $A8, SP!$C:$C, $C8), 0)</f>
        <v>1068101.92</v>
      </c>
      <c r="S8" s="145">
        <f>IFERROR(SUMIFS(SP!$J:$J, SP!$E:$E, "OUVIDORIA", SP!$A:$A, $A8, SP!$C:$C, $C8), 0)</f>
        <v>27513.730000000003</v>
      </c>
      <c r="T8" s="145">
        <f>IFERROR(SUMIFS(SP!$J:$J, SP!$E:$E, "CORREGEDORIA", SP!$A:$A, $A8, SP!$C:$C, $C8), 0)</f>
        <v>542449.85</v>
      </c>
      <c r="U8" s="145">
        <f>IFERROR(SUMIFS(SP!$J:$J, SP!$E:$E, "ESCOLA PENAL", SP!$A:$A, $A8, SP!$C:$C, $C8), 0)</f>
        <v>2195566.86</v>
      </c>
      <c r="V8" s="147">
        <f t="shared" si="2"/>
        <v>7.1528153925605473E-3</v>
      </c>
      <c r="W8" s="148">
        <f>IF($S8&lt;=0,0, SUMIFS(SP!$K:$K, SP!$E:$E, "OUVIDORIA", SP!$A:$A, $A8, SP!$C:$C, $C8) / $S8)</f>
        <v>0.7299642760178281</v>
      </c>
      <c r="X8" s="148">
        <f>IF($T8&lt;=0,0, SUMIFS(SP!$K:$K, SP!$E:$E, "CORREGEDORIA", SP!$A:$A, $A8, SP!$C:$C, $C8) / $T8)</f>
        <v>8.2606124787388185E-2</v>
      </c>
      <c r="Y8" s="148">
        <f>IF($U8&lt;=0,0, SUMIFS(SP!$K:$K, SP!$E:$E, "ESCOLA PENAL", SP!$A:$A, $A8, SP!$C:$C, $C8) / $U8)</f>
        <v>0.45692445913489516</v>
      </c>
      <c r="Z8" s="149">
        <f t="shared" ca="1" si="3"/>
        <v>1816899.5</v>
      </c>
    </row>
    <row r="9" spans="1:26" x14ac:dyDescent="0.3">
      <c r="A9" s="141" t="s">
        <v>44</v>
      </c>
      <c r="B9" s="142" t="s">
        <v>27</v>
      </c>
      <c r="C9" s="142">
        <v>938277</v>
      </c>
      <c r="D9" s="142">
        <v>2022</v>
      </c>
      <c r="E9" s="142" t="s">
        <v>45</v>
      </c>
      <c r="F9" s="143">
        <v>46484</v>
      </c>
      <c r="G9" s="142">
        <v>1</v>
      </c>
      <c r="H9" s="144" t="s">
        <v>29</v>
      </c>
      <c r="I9" s="145">
        <v>346697.9</v>
      </c>
      <c r="J9" s="145">
        <v>345652.9</v>
      </c>
      <c r="K9" s="145">
        <v>1045</v>
      </c>
      <c r="L9" s="145">
        <v>345652.9</v>
      </c>
      <c r="M9" s="145"/>
      <c r="N9" s="146">
        <v>44991.21</v>
      </c>
      <c r="O9" s="67">
        <f t="shared" ca="1" si="0"/>
        <v>7267.88</v>
      </c>
      <c r="P9" s="68">
        <f t="shared" ca="1" si="1"/>
        <v>41657.21</v>
      </c>
      <c r="Q9" s="145">
        <v>1045</v>
      </c>
      <c r="R9" s="145">
        <f>IFERROR(SUMIFS(MA!$K:$K, MA!$A:$A, $A9, MA!$C:$C, $C9), 0)</f>
        <v>69485.849999999991</v>
      </c>
      <c r="S9" s="145">
        <f>IFERROR(SUMIFS(MA!$J:$J, MA!$E:$E, "OUVIDORIA", MA!$A:$A, $A9, MA!$C:$C, $C9), 0)</f>
        <v>105039.86</v>
      </c>
      <c r="T9" s="145">
        <f>IFERROR(SUMIFS(MA!$J:$J, MA!$E:$E, "CORREGEDORIA", MA!$A:$A, $A9, MA!$C:$C, $C9), 0)</f>
        <v>108270.24</v>
      </c>
      <c r="U9" s="145">
        <f>IFERROR(SUMIFS(MA!$J:$J, MA!$E:$E, "ESCOLA PENAL", MA!$A:$A, $A9, MA!$C:$C, $C9), 0)</f>
        <v>120195.46999999999</v>
      </c>
      <c r="V9" s="147">
        <f t="shared" si="2"/>
        <v>0.30297229951493793</v>
      </c>
      <c r="W9" s="148">
        <f>IF($S9&lt;=0,0, SUMIFS(MA!$K:$K, MA!$E:$E, "OUVIDORIA", MA!$A:$A, $A9, MA!$C:$C, $C9) / $S9)</f>
        <v>0.1384912356128426</v>
      </c>
      <c r="X9" s="148">
        <f>IF($T9&lt;=0,0, SUMIFS(MA!$K:$K, MA!$E:$E, "CORREGEDORIA", MA!$A:$A, $A9, MA!$C:$C, $C9) / $T9)</f>
        <v>5.8319257443227239E-2</v>
      </c>
      <c r="Y9" s="148">
        <f>IF($U9&lt;=0,0, SUMIFS(MA!$K:$K, MA!$E:$E, "ESCOLA PENAL", MA!$A:$A, $A9, MA!$C:$C, $C9) / $U9)</f>
        <v>0.40454527945187951</v>
      </c>
      <c r="Z9" s="149">
        <f t="shared" ca="1" si="3"/>
        <v>93916.299999999988</v>
      </c>
    </row>
    <row r="10" spans="1:26" x14ac:dyDescent="0.3">
      <c r="A10" s="11" t="s">
        <v>46</v>
      </c>
      <c r="B10" s="12" t="s">
        <v>27</v>
      </c>
      <c r="C10" s="12">
        <v>937818</v>
      </c>
      <c r="D10" s="12">
        <v>2022</v>
      </c>
      <c r="E10" s="12" t="s">
        <v>47</v>
      </c>
      <c r="F10" s="143">
        <v>46484</v>
      </c>
      <c r="G10" s="12">
        <v>1</v>
      </c>
      <c r="H10" s="72" t="s">
        <v>29</v>
      </c>
      <c r="I10" s="51">
        <v>317757.09000000003</v>
      </c>
      <c r="J10" s="51">
        <v>317439.34000000003</v>
      </c>
      <c r="K10" s="51">
        <v>317.75</v>
      </c>
      <c r="L10" s="51">
        <v>317439.34000000003</v>
      </c>
      <c r="M10" s="51"/>
      <c r="N10" s="70">
        <v>51081.15</v>
      </c>
      <c r="O10" s="67">
        <f t="shared" ca="1" si="0"/>
        <v>0</v>
      </c>
      <c r="P10" s="68">
        <f t="shared" ca="1" si="1"/>
        <v>0</v>
      </c>
      <c r="Q10" s="51">
        <v>317.75</v>
      </c>
      <c r="R10" s="51">
        <f>IFERROR(SUMIFS(PB!$K:$K, PB!$A:$A, $A10, PB!$C:$C, $C10), 0)</f>
        <v>31085</v>
      </c>
      <c r="S10" s="51">
        <f>IFERROR(SUMIFS(PB!$J:$J, PB!$E:$E, "OUVIDORIA", PB!$A:$A, $A10, PB!$C:$C, $C10), 0)</f>
        <v>27434.02</v>
      </c>
      <c r="T10" s="51">
        <f>IFERROR(SUMIFS(PB!$J:$J, PB!$E:$E, "CORREGEDORIA", PB!$A:$A, $A10, PB!$C:$C, $C10), 0)</f>
        <v>95535.05</v>
      </c>
      <c r="U10" s="51">
        <f>IFERROR(SUMIFS(PB!$J:$J, PB!$E:$E, "ESCOLA PENAL", PB!$A:$A, $A10, PB!$C:$C, $C10), 0)</f>
        <v>194788.02000000002</v>
      </c>
      <c r="V10" s="52">
        <f t="shared" si="2"/>
        <v>8.6336452791659177E-2</v>
      </c>
      <c r="W10" s="74">
        <f>IF($S10&lt;=0,0, SUMIFS(PB!$K:$K, PB!$E:$E, "OUVIDORIA", PB!$A:$A, $A10, PB!$C:$C, $C10) / $S10)</f>
        <v>9.6959905985342279E-2</v>
      </c>
      <c r="X10" s="74">
        <f>IF($T10&lt;=0,0, SUMIFS(PB!$K:$K, PB!$E:$E, "CORREGEDORIA", PB!$A:$A, $A10, PB!$C:$C, $C10) / $T10)</f>
        <v>0</v>
      </c>
      <c r="Y10" s="74">
        <f>IF($U10&lt;=0,0, SUMIFS(PB!$K:$K, PB!$E:$E, "ESCOLA PENAL", PB!$A:$A, $A10, PB!$C:$C, $C10) / $U10)</f>
        <v>0.14592786558434137</v>
      </c>
      <c r="Z10" s="80">
        <f t="shared" ca="1" si="3"/>
        <v>51081.15</v>
      </c>
    </row>
    <row r="11" spans="1:26" s="77" customFormat="1" x14ac:dyDescent="0.3">
      <c r="A11" s="141" t="s">
        <v>48</v>
      </c>
      <c r="B11" s="142" t="s">
        <v>27</v>
      </c>
      <c r="C11" s="142">
        <v>937780</v>
      </c>
      <c r="D11" s="142">
        <v>2022</v>
      </c>
      <c r="E11" s="142" t="s">
        <v>49</v>
      </c>
      <c r="F11" s="143">
        <v>46484</v>
      </c>
      <c r="G11" s="142">
        <v>1</v>
      </c>
      <c r="H11" s="144" t="s">
        <v>29</v>
      </c>
      <c r="I11" s="145">
        <v>408371.26</v>
      </c>
      <c r="J11" s="145">
        <v>387952.7</v>
      </c>
      <c r="K11" s="145">
        <v>20418.560000000001</v>
      </c>
      <c r="L11" s="145">
        <v>387952.7</v>
      </c>
      <c r="M11" s="145"/>
      <c r="N11" s="146">
        <v>39771.71</v>
      </c>
      <c r="O11" s="67">
        <f t="shared" ca="1" si="0"/>
        <v>5.03</v>
      </c>
      <c r="P11" s="68">
        <f t="shared" ca="1" si="1"/>
        <v>98.200000000000728</v>
      </c>
      <c r="Q11" s="145">
        <v>20418.560000000001</v>
      </c>
      <c r="R11" s="145">
        <f>IFERROR(SUMIFS(PI!$K:$K, PI!$A:$A, $A11, PI!$C:$C, $C11), 0)</f>
        <v>26473.8</v>
      </c>
      <c r="S11" s="145">
        <f>IFERROR(SUMIFS(PI!$J:$J, PI!$E:$E, "OUVIDORIA", PI!$A:$A, $A11, PI!$C:$C, $C11), 0)</f>
        <v>44450.77</v>
      </c>
      <c r="T11" s="145">
        <f>IFERROR(SUMIFS(PI!$J:$J, PI!$E:$E, "CORREGEDORIA", PI!$A:$A, $A11, PI!$C:$C, $C11), 0)</f>
        <v>169138</v>
      </c>
      <c r="U11" s="145">
        <f>IFERROR(SUMIFS(PI!$J:$J, PI!$E:$E, "ESCOLA PENAL", PI!$A:$A, $A11, PI!$C:$C, $C11), 0)</f>
        <v>194777.46000000002</v>
      </c>
      <c r="V11" s="147">
        <f t="shared" si="2"/>
        <v>0.10884891850616518</v>
      </c>
      <c r="W11" s="148">
        <f>IF($S11&lt;=0,0, SUMIFS(PI!$K:$K, PI!$E:$E, "OUVIDORIA", PI!$A:$A, $A11, PI!$C:$C, $C11) / $S11)</f>
        <v>0</v>
      </c>
      <c r="X11" s="148">
        <f>IF($T11&lt;=0,0, SUMIFS(PI!$K:$K, PI!$E:$E, "CORREGEDORIA", PI!$A:$A, $A11, PI!$C:$C, $C11) / $T11)</f>
        <v>0</v>
      </c>
      <c r="Y11" s="148">
        <f>IF($U11&lt;=0,0, SUMIFS(PI!$K:$K, PI!$E:$E, "ESCOLA PENAL", PI!$A:$A, $A11, PI!$C:$C, $C11) / $U11)</f>
        <v>0.13591819094468116</v>
      </c>
      <c r="Z11" s="149">
        <f t="shared" ca="1" si="3"/>
        <v>39874.94</v>
      </c>
    </row>
    <row r="12" spans="1:26" x14ac:dyDescent="0.3">
      <c r="A12" s="141" t="s">
        <v>50</v>
      </c>
      <c r="B12" s="142" t="s">
        <v>27</v>
      </c>
      <c r="C12" s="142">
        <v>937917</v>
      </c>
      <c r="D12" s="142">
        <v>2022</v>
      </c>
      <c r="E12" s="142" t="s">
        <v>51</v>
      </c>
      <c r="F12" s="143">
        <v>46484</v>
      </c>
      <c r="G12" s="142">
        <v>1</v>
      </c>
      <c r="H12" s="144" t="s">
        <v>29</v>
      </c>
      <c r="I12" s="145">
        <v>234072.01</v>
      </c>
      <c r="J12" s="145">
        <v>233837.94</v>
      </c>
      <c r="K12" s="145">
        <v>234.07</v>
      </c>
      <c r="L12" s="145">
        <v>233837.94</v>
      </c>
      <c r="M12" s="145"/>
      <c r="N12" s="146">
        <v>29398.799999999999</v>
      </c>
      <c r="O12" s="67">
        <f t="shared" ca="1" si="0"/>
        <v>0</v>
      </c>
      <c r="P12" s="68">
        <f t="shared" ca="1" si="1"/>
        <v>15004.16</v>
      </c>
      <c r="Q12" s="145">
        <v>234.07</v>
      </c>
      <c r="R12" s="145">
        <f>IFERROR(SUMIFS(RO!$K:$K, RO!$A:$A, $A12, RO!$C:$C, $C12), 0)</f>
        <v>13450</v>
      </c>
      <c r="S12" s="145">
        <f>IFERROR(SUMIFS(RO!$J:$J, RO!$E:$E, "OUVIDORIA", RO!$A:$A, $A12, RO!$C:$C, $C12), 0)</f>
        <v>86734.48000000001</v>
      </c>
      <c r="T12" s="145">
        <f>IFERROR(SUMIFS(RO!$J:$J, RO!$E:$E, "CORREGEDORIA", RO!$A:$A, $A12, RO!$C:$C, $C12), 0)</f>
        <v>61475.44</v>
      </c>
      <c r="U12" s="145">
        <f>IFERROR(SUMIFS(RO!$J:$J, RO!$E:$E, "ESCOLA PENAL", RO!$A:$A, $A12, RO!$C:$C, $C12), 0)</f>
        <v>85862.09</v>
      </c>
      <c r="V12" s="147">
        <f t="shared" si="2"/>
        <v>0.37054614090766347</v>
      </c>
      <c r="W12" s="148">
        <f>IF($S12&lt;=0,0, SUMIFS(RO!$K:$K, RO!$E:$E, "OUVIDORIA", RO!$A:$A, $A12, RO!$C:$C, $C12) / $S12)</f>
        <v>0.15507097062206401</v>
      </c>
      <c r="X12" s="148">
        <f>IF($T12&lt;=0,0, SUMIFS(RO!$K:$K, RO!$E:$E, "CORREGEDORIA", RO!$A:$A, $A12, RO!$C:$C, $C12) / $T12)</f>
        <v>0</v>
      </c>
      <c r="Y12" s="148">
        <f>IF($U12&lt;=0,0, SUMIFS(RO!$K:$K, RO!$E:$E, "ESCOLA PENAL", RO!$A:$A, $A12, RO!$C:$C, $C12) / $U12)</f>
        <v>0</v>
      </c>
      <c r="Z12" s="149">
        <f t="shared" ca="1" si="3"/>
        <v>44402.96</v>
      </c>
    </row>
    <row r="13" spans="1:26" x14ac:dyDescent="0.3">
      <c r="A13" s="11" t="s">
        <v>52</v>
      </c>
      <c r="B13" s="12" t="s">
        <v>27</v>
      </c>
      <c r="C13" s="12">
        <v>937468</v>
      </c>
      <c r="D13" s="12">
        <v>2022</v>
      </c>
      <c r="E13" s="12" t="s">
        <v>53</v>
      </c>
      <c r="F13" s="143">
        <v>46484</v>
      </c>
      <c r="G13" s="12">
        <v>1</v>
      </c>
      <c r="H13" s="72" t="s">
        <v>29</v>
      </c>
      <c r="I13" s="51">
        <v>265260.78000000003</v>
      </c>
      <c r="J13" s="51">
        <v>259498.63</v>
      </c>
      <c r="K13" s="51">
        <v>5762.15</v>
      </c>
      <c r="L13" s="51">
        <v>259498.63</v>
      </c>
      <c r="M13" s="51"/>
      <c r="N13" s="70">
        <v>26794.48</v>
      </c>
      <c r="O13" s="67">
        <f t="shared" ca="1" si="0"/>
        <v>-1118.9700000000003</v>
      </c>
      <c r="P13" s="68">
        <f t="shared" ca="1" si="1"/>
        <v>13594.58</v>
      </c>
      <c r="Q13" s="51">
        <v>5762.15</v>
      </c>
      <c r="R13" s="51">
        <f>IFERROR(SUMIFS(TO!$K:$K, TO!$A:$A, $A13, TO!$C:$C, $C13), 0)</f>
        <v>17125.91</v>
      </c>
      <c r="S13" s="51">
        <f>IFERROR(SUMIFS(TO!$J:$J, TO!$E:$E, "OUVIDORIA", TO!$A:$A, $A13, TO!$C:$C, $C13), 0)</f>
        <v>61018.73</v>
      </c>
      <c r="T13" s="51">
        <f>IFERROR(SUMIFS(TO!$J:$J, TO!$E:$E, "CORREGEDORIA", TO!$A:$A, $A13, TO!$C:$C, $C13), 0)</f>
        <v>105826.66</v>
      </c>
      <c r="U13" s="51">
        <f>IFERROR(SUMIFS(TO!$J:$J, TO!$E:$E, "ESCOLA PENAL", TO!$A:$A, $A13, TO!$C:$C, $C13), 0)</f>
        <v>104267.81</v>
      </c>
      <c r="V13" s="52">
        <f t="shared" si="2"/>
        <v>0.2300329886687357</v>
      </c>
      <c r="W13" s="74">
        <f>IF($S13&lt;=0,0, SUMIFS(TO!$K:$K, TO!$E:$E, "OUVIDORIA", TO!$A:$A, $A13, TO!$C:$C, $C13) / $S13)</f>
        <v>2.2026023812688332E-2</v>
      </c>
      <c r="X13" s="74">
        <f>IF($T13&lt;=0,0, SUMIFS(TO!$K:$K, TO!$E:$E, "CORREGEDORIA", TO!$A:$A, $A13, TO!$C:$C, $C13) / $T13)</f>
        <v>0.11305194740153379</v>
      </c>
      <c r="Y13" s="74">
        <f>IF($U13&lt;=0,0, SUMIFS(TO!$K:$K, TO!$E:$E, "ESCOLA PENAL", TO!$A:$A, $A13, TO!$C:$C, $C13) / $U13)</f>
        <v>3.6617245533400962E-2</v>
      </c>
      <c r="Z13" s="80">
        <f t="shared" ca="1" si="3"/>
        <v>39270.089999999997</v>
      </c>
    </row>
    <row r="14" spans="1:26" x14ac:dyDescent="0.3">
      <c r="A14" s="141" t="s">
        <v>54</v>
      </c>
      <c r="B14" s="142" t="s">
        <v>27</v>
      </c>
      <c r="C14" s="142">
        <v>937817</v>
      </c>
      <c r="D14" s="142">
        <v>2022</v>
      </c>
      <c r="E14" s="142" t="s">
        <v>55</v>
      </c>
      <c r="F14" s="143">
        <v>46484</v>
      </c>
      <c r="G14" s="142">
        <v>3</v>
      </c>
      <c r="H14" s="144" t="s">
        <v>29</v>
      </c>
      <c r="I14" s="145">
        <v>1583018.92</v>
      </c>
      <c r="J14" s="145">
        <v>1415055.78</v>
      </c>
      <c r="K14" s="145">
        <v>66621.710000000006</v>
      </c>
      <c r="L14" s="145">
        <v>1415055.78</v>
      </c>
      <c r="M14" s="145">
        <v>101341.43</v>
      </c>
      <c r="N14" s="146">
        <v>85306.29</v>
      </c>
      <c r="O14" s="67">
        <f t="shared" ca="1" si="0"/>
        <v>69167.970000000016</v>
      </c>
      <c r="P14" s="68">
        <f t="shared" ca="1" si="1"/>
        <v>27463.270000000004</v>
      </c>
      <c r="Q14" s="145">
        <v>66621.710000000006</v>
      </c>
      <c r="R14" s="145">
        <f>IFERROR(SUMIFS(RJ!$K:$K, RJ!$A:$A, $A14, RJ!$C:$C, $C14), 0)</f>
        <v>153079.45000000001</v>
      </c>
      <c r="S14" s="145">
        <f>IFERROR(SUMIFS(RJ!$J:$J, RJ!$E:$E, "OUVIDORIA", RJ!$A:$A, $A14, RJ!$C:$C, $C14), 0)</f>
        <v>323838.90000000002</v>
      </c>
      <c r="T14" s="145">
        <f>IFERROR(SUMIFS(RJ!$J:$J, RJ!$E:$E, "CORREGEDORIA", RJ!$A:$A, $A14, RJ!$C:$C, $C14), 0)</f>
        <v>601790.9</v>
      </c>
      <c r="U14" s="145">
        <f>IFERROR(SUMIFS(RJ!$J:$J, RJ!$E:$E, "ESCOLA PENAL", RJ!$A:$A, $A14, RJ!$C:$C, $C14), 0)</f>
        <v>657205.77</v>
      </c>
      <c r="V14" s="147">
        <f t="shared" si="2"/>
        <v>0.20457045453379674</v>
      </c>
      <c r="W14" s="148">
        <f>IF($S14&lt;=0,0, SUMIFS(RJ!$K:$K, RJ!$E:$E, "OUVIDORIA", RJ!$A:$A, $A14, RJ!$C:$C, $C14) / $S14)</f>
        <v>0</v>
      </c>
      <c r="X14" s="148">
        <f>IF($T14&lt;=0,0, SUMIFS(RJ!$K:$K, RJ!$E:$E, "CORREGEDORIA", RJ!$A:$A, $A14, RJ!$C:$C, $C14) / $T14)</f>
        <v>0</v>
      </c>
      <c r="Y14" s="148">
        <f>IF($U14&lt;=0,0, SUMIFS(RJ!$K:$K, RJ!$E:$E, "ESCOLA PENAL", RJ!$A:$A, $A14, RJ!$C:$C, $C14) / $U14)</f>
        <v>0.2329246896295509</v>
      </c>
      <c r="Z14" s="149">
        <f t="shared" ca="1" si="3"/>
        <v>181937.53000000003</v>
      </c>
    </row>
    <row r="15" spans="1:26" x14ac:dyDescent="0.3">
      <c r="A15" s="141" t="s">
        <v>56</v>
      </c>
      <c r="B15" s="142" t="s">
        <v>27</v>
      </c>
      <c r="C15" s="142">
        <v>937221</v>
      </c>
      <c r="D15" s="142">
        <v>2022</v>
      </c>
      <c r="E15" s="142" t="s">
        <v>57</v>
      </c>
      <c r="F15" s="143">
        <v>46484</v>
      </c>
      <c r="G15" s="142">
        <v>1</v>
      </c>
      <c r="H15" s="144" t="s">
        <v>29</v>
      </c>
      <c r="I15" s="145">
        <v>171603.5</v>
      </c>
      <c r="J15" s="145">
        <v>156000</v>
      </c>
      <c r="K15" s="145">
        <v>15600</v>
      </c>
      <c r="L15" s="145">
        <v>156000</v>
      </c>
      <c r="M15" s="145">
        <v>3.5</v>
      </c>
      <c r="N15" s="146">
        <v>17567.060000000001</v>
      </c>
      <c r="O15" s="67">
        <f t="shared" ca="1" si="0"/>
        <v>3.5</v>
      </c>
      <c r="P15" s="68">
        <f t="shared" ca="1" si="1"/>
        <v>0</v>
      </c>
      <c r="Q15" s="145">
        <v>15600</v>
      </c>
      <c r="R15" s="145">
        <f>IFERROR(SUMIFS(AL!$K:$K, AL!$A:$A, $A15, AL!$C:$C, $C15), 0)</f>
        <v>0</v>
      </c>
      <c r="S15" s="145">
        <f>IFERROR(SUMIFS(AL!$J:$J, AL!$E:$E, "OUVIDORIA", AL!$A:$A, $A15, AL!$C:$C, $C15), 0)</f>
        <v>39023.53</v>
      </c>
      <c r="T15" s="145">
        <f>IFERROR(SUMIFS(AL!$J:$J, AL!$E:$E, "CORREGEDORIA", AL!$A:$A, $A15, AL!$C:$C, $C15), 0)</f>
        <v>63936.469999999987</v>
      </c>
      <c r="U15" s="145">
        <f>IFERROR(SUMIFS(AL!$J:$J, AL!$E:$E, "ESCOLA PENAL", AL!$A:$A, $A15, AL!$C:$C, $C15), 0)</f>
        <v>68640</v>
      </c>
      <c r="V15" s="147">
        <f t="shared" si="2"/>
        <v>0.22740521026669036</v>
      </c>
      <c r="W15" s="148">
        <f>IF($S15&lt;=0,0, SUMIFS(AL!$K:$K, AL!$E:$E, "OUVIDORIA", AL!$A:$A, $A15, AL!$C:$C, $C15) / $S15)</f>
        <v>0</v>
      </c>
      <c r="X15" s="148">
        <f>IF($T15&lt;=0,0, SUMIFS(AL!$K:$K, AL!$E:$E, "CORREGEDORIA", AL!$A:$A, $A15, AL!$C:$C, $C15) / $T15)</f>
        <v>0</v>
      </c>
      <c r="Y15" s="148">
        <f>IF($U15&lt;=0,0, SUMIFS(AL!$K:$K, AL!$E:$E, "ESCOLA PENAL", AL!$A:$A, $A15, AL!$C:$C, $C15) / $U15)</f>
        <v>0</v>
      </c>
      <c r="Z15" s="149">
        <f t="shared" ca="1" si="3"/>
        <v>17570.560000000001</v>
      </c>
    </row>
    <row r="16" spans="1:26" x14ac:dyDescent="0.3">
      <c r="A16" s="11" t="s">
        <v>60</v>
      </c>
      <c r="B16" s="12" t="s">
        <v>27</v>
      </c>
      <c r="C16" s="12">
        <v>937783</v>
      </c>
      <c r="D16" s="12">
        <v>2022</v>
      </c>
      <c r="E16" s="12" t="s">
        <v>61</v>
      </c>
      <c r="F16" s="143">
        <v>46484</v>
      </c>
      <c r="G16" s="12">
        <v>1</v>
      </c>
      <c r="H16" s="72" t="s">
        <v>29</v>
      </c>
      <c r="I16" s="51">
        <v>581020.22</v>
      </c>
      <c r="J16" s="51">
        <v>569399.81999999995</v>
      </c>
      <c r="K16" s="51">
        <v>11620.4</v>
      </c>
      <c r="L16" s="51">
        <v>569399.81999999995</v>
      </c>
      <c r="M16" s="51"/>
      <c r="N16" s="70">
        <v>8232.23</v>
      </c>
      <c r="O16" s="67">
        <f t="shared" ca="1" si="0"/>
        <v>18488.150000000001</v>
      </c>
      <c r="P16" s="68">
        <f t="shared" ca="1" si="1"/>
        <v>92886.88</v>
      </c>
      <c r="Q16" s="51">
        <v>11620.4</v>
      </c>
      <c r="R16" s="51">
        <f>IFERROR(SUMIFS(SC!$K:$K, SC!$A:$A, $A16, SC!$C:$C, $C16), 0)</f>
        <v>44897.82</v>
      </c>
      <c r="S16" s="51">
        <f>IFERROR(SUMIFS(SC!$J:$J, SC!$E:$E, "OUVIDORIA", SC!$A:$A, $A16, SC!$C:$C, $C16), 0)</f>
        <v>140216.70000000001</v>
      </c>
      <c r="T16" s="51">
        <f>IFERROR(SUMIFS(SC!$J:$J, SC!$E:$E, "CORREGEDORIA", SC!$A:$A, $A16, SC!$C:$C, $C16), 0)</f>
        <v>147416.70000000001</v>
      </c>
      <c r="U16" s="51">
        <f>IFERROR(SUMIFS(SC!$J:$J, SC!$E:$E, "ESCOLA PENAL", SC!$A:$A, $A16, SC!$C:$C, $C16), 0)</f>
        <v>182011.85</v>
      </c>
      <c r="V16" s="52">
        <f t="shared" si="2"/>
        <v>0.24132843431851653</v>
      </c>
      <c r="W16" s="74">
        <f>IF($S16&lt;=0,0, SUMIFS(SC!$K:$K, SC!$E:$E, "OUVIDORIA", SC!$A:$A, $A16, SC!$C:$C, $C16) / $S16)</f>
        <v>0</v>
      </c>
      <c r="X16" s="74">
        <f>IF($T16&lt;=0,0, SUMIFS(SC!$K:$K, SC!$E:$E, "CORREGEDORIA", SC!$A:$A, $A16, SC!$C:$C, $C16) / $T16)</f>
        <v>0</v>
      </c>
      <c r="Y16" s="74">
        <f>IF($U16&lt;=0,0, SUMIFS(SC!$K:$K, SC!$E:$E, "ESCOLA PENAL", SC!$A:$A, $A16, SC!$C:$C, $C16) / $U16)</f>
        <v>0.24667525768239815</v>
      </c>
      <c r="Z16" s="80">
        <f t="shared" ca="1" si="3"/>
        <v>119607.26000000001</v>
      </c>
    </row>
    <row r="25" spans="23:25" x14ac:dyDescent="0.3">
      <c r="W25" s="75"/>
      <c r="X25" s="75"/>
      <c r="Y25" s="75"/>
    </row>
  </sheetData>
  <autoFilter ref="A1:Z16" xr:uid="{E4048959-47A0-41AA-B9D2-770F1E5B3E40}"/>
  <sortState xmlns:xlrd2="http://schemas.microsoft.com/office/spreadsheetml/2017/richdata2" ref="A2:Z25">
    <sortCondition ref="C1:C25"/>
  </sortState>
  <phoneticPr fontId="3" type="noConversion"/>
  <conditionalFormatting sqref="H2:H16">
    <cfRule type="containsText" dxfId="50" priority="28" operator="containsText" text="SIM">
      <formula>NOT(ISERROR(SEARCH("SIM",H2)))</formula>
    </cfRule>
    <cfRule type="containsText" dxfId="49" priority="29" operator="containsText" text="NÃO">
      <formula>NOT(ISERROR(SEARCH("NÃO",H2)))</formula>
    </cfRule>
  </conditionalFormatting>
  <conditionalFormatting sqref="V2:V16">
    <cfRule type="cellIs" dxfId="48" priority="35" operator="greaterThan">
      <formula>0.25</formula>
    </cfRule>
    <cfRule type="cellIs" dxfId="47" priority="36" operator="between">
      <formula>0.2</formula>
      <formula>0.25</formula>
    </cfRule>
    <cfRule type="cellIs" dxfId="46" priority="37" operator="lessThan">
      <formula>0.2</formula>
    </cfRule>
  </conditionalFormatting>
  <conditionalFormatting sqref="W2:Y16">
    <cfRule type="cellIs" dxfId="45" priority="41" operator="lessThan">
      <formula>0.5</formula>
    </cfRule>
    <cfRule type="cellIs" dxfId="44" priority="42" operator="between">
      <formula>0.3</formula>
      <formula>0.79</formula>
    </cfRule>
    <cfRule type="cellIs" dxfId="43" priority="43" operator="greaterThan">
      <formula>0.79</formula>
    </cfRule>
  </conditionalFormatting>
  <conditionalFormatting sqref="Z2:Z16">
    <cfRule type="cellIs" dxfId="42" priority="32" operator="lessThan">
      <formula>10000</formula>
    </cfRule>
    <cfRule type="cellIs" dxfId="41" priority="33" operator="between">
      <formula>10000</formula>
      <formula>25000</formula>
    </cfRule>
    <cfRule type="cellIs" dxfId="40" priority="34" operator="greaterThan">
      <formula>25000</formula>
    </cfRule>
  </conditionalFormatting>
  <pageMargins left="0.511811024" right="0.511811024" top="0.78740157499999996" bottom="0.78740157499999996" header="0.31496062000000002" footer="0.31496062000000002"/>
  <pageSetup paperSize="9" scale="3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2F3C-FE2B-4302-9489-792474018081}">
  <dimension ref="A1:S39"/>
  <sheetViews>
    <sheetView topLeftCell="A7" zoomScale="60" zoomScaleNormal="60" workbookViewId="0">
      <selection activeCell="A17" sqref="A17:XFD17"/>
    </sheetView>
  </sheetViews>
  <sheetFormatPr defaultColWidth="9" defaultRowHeight="15.6" x14ac:dyDescent="0.3"/>
  <cols>
    <col min="1" max="1" width="5" style="1" customWidth="1"/>
    <col min="2" max="2" width="10.5" style="1" customWidth="1"/>
    <col min="3" max="3" width="30.3984375" style="20" customWidth="1"/>
    <col min="4" max="4" width="17.69921875" style="20" customWidth="1"/>
    <col min="5" max="7" width="21.69921875" style="20" customWidth="1"/>
    <col min="8" max="8" width="15.59765625" style="76" hidden="1" customWidth="1"/>
    <col min="9" max="9" width="31.8984375" style="81" hidden="1" customWidth="1"/>
    <col min="10" max="10" width="18.3984375" style="1" hidden="1" customWidth="1"/>
    <col min="11" max="11" width="56.3984375" style="81" hidden="1" customWidth="1"/>
    <col min="12" max="12" width="55.09765625" style="2" hidden="1" customWidth="1"/>
    <col min="13" max="13" width="42.59765625" style="2" hidden="1" customWidth="1"/>
    <col min="14" max="14" width="16.5" style="76" customWidth="1"/>
    <col min="15" max="15" width="31.8984375" style="76" bestFit="1" customWidth="1"/>
    <col min="16" max="16" width="20" style="76" bestFit="1" customWidth="1"/>
    <col min="17" max="17" width="31.8984375" style="76" bestFit="1" customWidth="1"/>
    <col min="18" max="18" width="18.8984375" style="76" bestFit="1" customWidth="1"/>
    <col min="19" max="19" width="30.19921875" style="81" bestFit="1" customWidth="1"/>
    <col min="20" max="16384" width="9" style="2"/>
  </cols>
  <sheetData>
    <row r="1" spans="1:19" s="84" customFormat="1" x14ac:dyDescent="0.3">
      <c r="A1" s="154" t="s">
        <v>63</v>
      </c>
      <c r="B1" s="155"/>
      <c r="C1" s="156"/>
      <c r="D1" s="93"/>
      <c r="E1" s="86"/>
      <c r="F1" s="86"/>
      <c r="G1" s="104"/>
      <c r="H1" s="154" t="s">
        <v>64</v>
      </c>
      <c r="I1" s="155"/>
      <c r="J1" s="155"/>
      <c r="K1" s="155"/>
      <c r="L1" s="155"/>
      <c r="M1" s="156"/>
      <c r="N1" s="157" t="s">
        <v>65</v>
      </c>
      <c r="O1" s="158"/>
      <c r="P1" s="157" t="s">
        <v>66</v>
      </c>
      <c r="Q1" s="158"/>
      <c r="R1" s="157" t="s">
        <v>67</v>
      </c>
      <c r="S1" s="158"/>
    </row>
    <row r="2" spans="1:19" s="4" customFormat="1" ht="47.4" thickBot="1" x14ac:dyDescent="0.35">
      <c r="A2" s="96" t="s">
        <v>0</v>
      </c>
      <c r="B2" s="87" t="s">
        <v>2</v>
      </c>
      <c r="C2" s="97" t="s">
        <v>8</v>
      </c>
      <c r="D2" s="94" t="s">
        <v>17</v>
      </c>
      <c r="E2" s="88" t="s">
        <v>18</v>
      </c>
      <c r="F2" s="88" t="s">
        <v>19</v>
      </c>
      <c r="G2" s="105" t="s">
        <v>20</v>
      </c>
      <c r="H2" s="119" t="s">
        <v>68</v>
      </c>
      <c r="I2" s="89" t="s">
        <v>69</v>
      </c>
      <c r="J2" s="89" t="s">
        <v>70</v>
      </c>
      <c r="K2" s="89" t="s">
        <v>71</v>
      </c>
      <c r="L2" s="89" t="s">
        <v>72</v>
      </c>
      <c r="M2" s="108" t="s">
        <v>73</v>
      </c>
      <c r="N2" s="107" t="s">
        <v>74</v>
      </c>
      <c r="O2" s="108" t="s">
        <v>75</v>
      </c>
      <c r="P2" s="107" t="s">
        <v>76</v>
      </c>
      <c r="Q2" s="108" t="s">
        <v>77</v>
      </c>
      <c r="R2" s="107" t="s">
        <v>78</v>
      </c>
      <c r="S2" s="108" t="s">
        <v>79</v>
      </c>
    </row>
    <row r="3" spans="1:19" ht="31.8" thickBot="1" x14ac:dyDescent="0.35">
      <c r="A3" s="117" t="s">
        <v>26</v>
      </c>
      <c r="B3" s="90">
        <v>937698</v>
      </c>
      <c r="C3" s="99">
        <v>392509.71</v>
      </c>
      <c r="D3" s="95">
        <f>IFERROR(SUMIFS(MT!$K:$K, MT!$A:$A, $A3, MT!$C:$C, $B3), 0)</f>
        <v>337453.87</v>
      </c>
      <c r="E3" s="91">
        <f>IFERROR(SUMIFS(MT!$J:$J, MT!$E:$E, "OUVIDORIA", MT!$A:$A, $A3, MT!$C:$C, $B3), 0)</f>
        <v>119503.74</v>
      </c>
      <c r="F3" s="91">
        <f>IFERROR(SUMIFS(MT!$J:$J, MT!$E:$E, "CORREGEDORIA", MT!$A:$A, $A3, MT!$C:$C, $B3), 0)</f>
        <v>108156</v>
      </c>
      <c r="G3" s="106">
        <f>IFERROR(SUMIFS(MT!$J:$J, MT!$E:$E, "ESCOLA PENAL", MT!$A:$A, $A3, MT!$C:$C, $B3), 0)</f>
        <v>164850</v>
      </c>
      <c r="H3" s="121">
        <f t="shared" ref="H3:H21" si="0">D3/C3</f>
        <v>0.8597338139736721</v>
      </c>
      <c r="I3" s="118" t="s">
        <v>80</v>
      </c>
      <c r="J3" s="90" t="s">
        <v>29</v>
      </c>
      <c r="K3" s="92" t="s">
        <v>81</v>
      </c>
      <c r="L3" s="92" t="s">
        <v>82</v>
      </c>
      <c r="M3" s="110" t="s">
        <v>83</v>
      </c>
      <c r="N3" s="109">
        <f>IF($E3&lt;=0,0, SUMIFS(MT!$K:$K, MT!$E:$E, "OUVIDORIA", MT!$A:$A, $A3, MT!$C:$C, $B3) / $E3)</f>
        <v>0.59108786051382145</v>
      </c>
      <c r="O3" s="110" t="s">
        <v>80</v>
      </c>
      <c r="P3" s="109">
        <f>IF($F3&lt;=0,0, SUMIFS(MT!$K:$K, MT!$E:$E, "CORREGEDORIA", MT!$A:$A, $A3, MT!$C:$C, $B3) / $F3)</f>
        <v>0.9427739561374312</v>
      </c>
      <c r="Q3" s="110" t="s">
        <v>80</v>
      </c>
      <c r="R3" s="109">
        <f>IF($G3&lt;=0,0, SUMIFS(MT!$K:$K, MT!$E:$E, "ESCOLA PENAL", MT!$A:$A, $A3, MT!$C:$C, $B3) / $G3)</f>
        <v>1</v>
      </c>
      <c r="S3" s="110" t="s">
        <v>80</v>
      </c>
    </row>
    <row r="4" spans="1:19" ht="31.2" x14ac:dyDescent="0.3">
      <c r="A4" s="117" t="s">
        <v>30</v>
      </c>
      <c r="B4" s="90">
        <v>937216</v>
      </c>
      <c r="C4" s="99">
        <v>388852.47999999998</v>
      </c>
      <c r="D4" s="95">
        <f>IFERROR(SUMIFS(GO!$K:$K, GO!$A:$A, $A4, GO!$C:$C, $B4), 0)</f>
        <v>323819.26999999996</v>
      </c>
      <c r="E4" s="91">
        <f>IFERROR(SUMIFS(GO!$J:$J, GO!$E:$E, "OUVIDORIA", GO!$A:$A, $A4, GO!$C:$C, $B4), 0)</f>
        <v>106486</v>
      </c>
      <c r="F4" s="91">
        <f>IFERROR(SUMIFS(GO!$J:$J, GO!$E:$E, "CORREGEDORIA", GO!$A:$A, $A4, GO!$C:$C, $B4), 0)</f>
        <v>87246.81</v>
      </c>
      <c r="G4" s="106">
        <f>IFERROR(SUMIFS(GO!$J:$J, GO!$E:$E, "ESCOLA PENAL", GO!$A:$A, $A4, GO!$C:$C, $B4), 0)</f>
        <v>161086.32999999993</v>
      </c>
      <c r="H4" s="120">
        <f t="shared" si="0"/>
        <v>0.83275608786139144</v>
      </c>
      <c r="I4" s="92" t="s">
        <v>80</v>
      </c>
      <c r="J4" s="90" t="s">
        <v>29</v>
      </c>
      <c r="K4" s="92" t="s">
        <v>81</v>
      </c>
      <c r="L4" s="92" t="s">
        <v>82</v>
      </c>
      <c r="M4" s="110" t="s">
        <v>83</v>
      </c>
      <c r="N4" s="109">
        <f>IF($E4&lt;=0,0, SUMIFS(GO!$K:$K, GO!$E:$E, "OUVIDORIA", GO!$A:$A, $A4, GO!$C:$C, $B4) / $E4)</f>
        <v>1</v>
      </c>
      <c r="O4" s="110" t="s">
        <v>80</v>
      </c>
      <c r="P4" s="109">
        <f>IF($F4&lt;=0,0, SUMIFS(GO!$K:$K, GO!$E:$E, "CORREGEDORIA", GO!$A:$A, $A4, GO!$C:$C, $B4) / $F4)</f>
        <v>0.73634978745927793</v>
      </c>
      <c r="Q4" s="110" t="s">
        <v>80</v>
      </c>
      <c r="R4" s="109">
        <f>IF($G4&lt;=0,0, SUMIFS(GO!$K:$K, GO!$E:$E, "ESCOLA PENAL", GO!$A:$A, $A4, GO!$C:$C, $B4) / $G4)</f>
        <v>0.95035438450922627</v>
      </c>
      <c r="S4" s="110" t="s">
        <v>80</v>
      </c>
    </row>
    <row r="5" spans="1:19" ht="31.2" x14ac:dyDescent="0.3">
      <c r="A5" s="117" t="s">
        <v>32</v>
      </c>
      <c r="B5" s="90">
        <v>937871</v>
      </c>
      <c r="C5" s="99">
        <v>861700.16</v>
      </c>
      <c r="D5" s="95">
        <f>IFERROR(SUMIFS(PR!$K:$K, PR!$A:$A, $A5, PR!$C:$C, $B5), 0)</f>
        <v>485239.8</v>
      </c>
      <c r="E5" s="91">
        <f>IFERROR(SUMIFS(PR!$J:$J, PR!$E:$E, "OUVIDORIA", PR!$A:$A, $A5, PR!$C:$C, $B5), 0)</f>
        <v>161317.97999999998</v>
      </c>
      <c r="F5" s="91">
        <f>IFERROR(SUMIFS(PR!$J:$J, PR!$E:$E, "CORREGEDORIA", PR!$A:$A, $A5, PR!$C:$C, $B5), 0)</f>
        <v>322820.85000000003</v>
      </c>
      <c r="G5" s="106">
        <f>IFERROR(SUMIFS(PR!$J:$J, PR!$E:$E, "ESCOLA PENAL", PR!$A:$A, $A5, PR!$C:$C, $B5), 0)</f>
        <v>334677.34999999998</v>
      </c>
      <c r="H5" s="109">
        <f t="shared" si="0"/>
        <v>0.56311907845067588</v>
      </c>
      <c r="I5" s="92" t="s">
        <v>84</v>
      </c>
      <c r="J5" s="90" t="s">
        <v>29</v>
      </c>
      <c r="K5" s="92" t="s">
        <v>85</v>
      </c>
      <c r="L5" s="92" t="s">
        <v>82</v>
      </c>
      <c r="M5" s="110" t="s">
        <v>83</v>
      </c>
      <c r="N5" s="109">
        <f>IF($E5&lt;=0,0, SUMIFS(PR!$K:$K, PR!$E:$E, "OUVIDORIA", PR!$A:$A, $A5, PR!$C:$C, $B5) / $E5)</f>
        <v>9.6053521126411343E-2</v>
      </c>
      <c r="O5" s="110" t="s">
        <v>84</v>
      </c>
      <c r="P5" s="109">
        <f>IF($F5&lt;=0,0, SUMIFS(PR!$K:$K, PR!$E:$E, "CORREGEDORIA", PR!$A:$A, $A5, PR!$C:$C, $B5) / $F5)</f>
        <v>0.79902720038064456</v>
      </c>
      <c r="Q5" s="110" t="s">
        <v>84</v>
      </c>
      <c r="R5" s="109">
        <f>IF($G5&lt;=0,0, SUMIFS(PR!$K:$K, PR!$E:$E, "ESCOLA PENAL", PR!$A:$A, $A5, PR!$C:$C, $B5) / $G5)</f>
        <v>0.63285429982040919</v>
      </c>
      <c r="S5" s="110" t="s">
        <v>80</v>
      </c>
    </row>
    <row r="6" spans="1:19" ht="46.8" x14ac:dyDescent="0.3">
      <c r="A6" s="100" t="s">
        <v>34</v>
      </c>
      <c r="B6" s="90">
        <v>937592</v>
      </c>
      <c r="C6" s="99">
        <v>300300</v>
      </c>
      <c r="D6" s="95">
        <f>IFERROR(SUMIFS(AM!$K$1:$K$24, AM!$A$1:$A$24, $A6, AM!$C$1:$C$24, $B6), 0)</f>
        <v>223899.78</v>
      </c>
      <c r="E6" s="91">
        <f>IFERROR(SUMIFS(AM!$J$1:$J$24, AM!$E$1:$E$24, "OUVIDORIA", AM!$A$1:$A$24, $A6, AM!$C$1:$C$24, $B6), 0)</f>
        <v>57507.979999999996</v>
      </c>
      <c r="F6" s="91">
        <f>IFERROR(SUMIFS(AM!$J$1:$J$24, AM!$E$1:$E$24, "CORREGEDORIA", AM!$A$1:$A$24, $A6, AM!$C$1:$C$24, $B6), 0)</f>
        <v>15129.7</v>
      </c>
      <c r="G6" s="106">
        <f>IFERROR(SUMIFS(AM!$J$1:$J$24, AM!$E$1:$E$24, "ESCOLA PENAL", AM!$A$1:$A$24, $A6, AM!$C$1:$C$24, $B6), 0)</f>
        <v>227662.31999999998</v>
      </c>
      <c r="H6" s="109">
        <f t="shared" si="0"/>
        <v>0.74558701298701302</v>
      </c>
      <c r="I6" s="92" t="s">
        <v>86</v>
      </c>
      <c r="J6" s="90" t="s">
        <v>29</v>
      </c>
      <c r="K6" s="92" t="s">
        <v>81</v>
      </c>
      <c r="L6" s="92" t="s">
        <v>87</v>
      </c>
      <c r="M6" s="110" t="s">
        <v>88</v>
      </c>
      <c r="N6" s="109">
        <f>IF($E6&lt;=0,0, SUMIFS(AM!$K$1:$K$24, AM!$E$1:$E$24, "OUVIDORIA", AM!$A$1:$A$24, $A6, AM!$C$1:$C$24, $B6) / $E6)</f>
        <v>0.79536770375172283</v>
      </c>
      <c r="O6" s="114" t="s">
        <v>89</v>
      </c>
      <c r="P6" s="109">
        <f>IF($F6&lt;=0,0, SUMIFS(AM!$K$1:$K$24, AM!$E$1:$E$24, "CORREGEDORIA", AM!$A$1:$A$24, $A6, AM!$C$1:$C$24, $B6) / $F6)</f>
        <v>0.80371653106142216</v>
      </c>
      <c r="Q6" s="114" t="s">
        <v>89</v>
      </c>
      <c r="R6" s="109">
        <f>IF($G6&lt;=0,0, SUMIFS(AM!$K$1:$K$24, AM!$E$1:$E$24, "ESCOLA PENAL", AM!$A$1:$A$24, $A6, AM!$C$1:$C$24, $B6) / $G6)</f>
        <v>0.729149206596858</v>
      </c>
      <c r="S6" s="110" t="s">
        <v>86</v>
      </c>
    </row>
    <row r="7" spans="1:19" ht="31.2" x14ac:dyDescent="0.3">
      <c r="A7" s="116" t="s">
        <v>36</v>
      </c>
      <c r="B7" s="90">
        <v>937925</v>
      </c>
      <c r="C7" s="99">
        <v>1273294.73</v>
      </c>
      <c r="D7" s="95">
        <f>IFERROR(SUMIFS(#REF!,#REF!, $A7,#REF!, $B7), 0)</f>
        <v>0</v>
      </c>
      <c r="E7" s="91">
        <f>IFERROR(SUMIFS(#REF!,#REF!, "OUVIDORIA",#REF!, $A7,#REF!, $B7), 0)</f>
        <v>0</v>
      </c>
      <c r="F7" s="91">
        <f>IFERROR(SUMIFS(#REF!,#REF!, "CORREGEDORIA",#REF!, $A7,#REF!, $B7), 0)</f>
        <v>0</v>
      </c>
      <c r="G7" s="106">
        <f>IFERROR(SUMIFS(#REF!,#REF!, "ESCOLA PENAL",#REF!, $A7,#REF!, $B7), 0)</f>
        <v>0</v>
      </c>
      <c r="H7" s="109">
        <f t="shared" si="0"/>
        <v>0</v>
      </c>
      <c r="I7" s="92" t="s">
        <v>86</v>
      </c>
      <c r="J7" s="90" t="s">
        <v>29</v>
      </c>
      <c r="K7" s="92" t="s">
        <v>85</v>
      </c>
      <c r="L7" s="92" t="s">
        <v>90</v>
      </c>
      <c r="M7" s="110" t="s">
        <v>88</v>
      </c>
      <c r="N7" s="98" t="s">
        <v>89</v>
      </c>
      <c r="O7" s="114" t="s">
        <v>89</v>
      </c>
      <c r="P7" s="109">
        <f>IF($F7&lt;=0,0, SUMIFS(#REF!,#REF!, "CORREGEDORIA",#REF!, $A7,#REF!, $B7) / $F7)</f>
        <v>0</v>
      </c>
      <c r="Q7" s="110" t="s">
        <v>86</v>
      </c>
      <c r="R7" s="109">
        <f>IF($G7&lt;=0,0, SUMIFS(#REF!,#REF!, "ESCOLA PENAL",#REF!, $A7,#REF!, $B7) / $G7)</f>
        <v>0</v>
      </c>
      <c r="S7" s="110" t="s">
        <v>80</v>
      </c>
    </row>
    <row r="8" spans="1:19" ht="31.8" thickBot="1" x14ac:dyDescent="0.35">
      <c r="A8" s="117" t="s">
        <v>37</v>
      </c>
      <c r="B8" s="90">
        <v>937782</v>
      </c>
      <c r="C8" s="99">
        <v>153593.71</v>
      </c>
      <c r="D8" s="95">
        <f>IFERROR(SUMIFS(AC!$L:$L, AC!$A:$A, $A8, AC!$C:$C, $B8), 0)</f>
        <v>299282.15999999997</v>
      </c>
      <c r="E8" s="91">
        <f>IFERROR(SUMIFS(AC!$J:$J, AC!$E:$E, "OUVIDORIA", AC!$A:$A, $A8, AC!$C:$C, $B8), 0)</f>
        <v>242142.01</v>
      </c>
      <c r="F8" s="91">
        <f>IFERROR(SUMIFS(AC!$J:$J, AC!$E:$E, "CORREGEDORIA", AC!$A:$A, $A8, AC!$C:$C, $B8), 0)</f>
        <v>44590.759999999995</v>
      </c>
      <c r="G8" s="106">
        <f>IFERROR(SUMIFS(AC!$J:$J, AC!$E:$E, "ESCOLA PENAL", AC!$A:$A, $A8, AC!$C:$C, $B8), 0)</f>
        <v>109681.1</v>
      </c>
      <c r="H8" s="109">
        <f t="shared" si="0"/>
        <v>1.948531355873883</v>
      </c>
      <c r="I8" s="92" t="s">
        <v>84</v>
      </c>
      <c r="J8" s="90" t="s">
        <v>29</v>
      </c>
      <c r="K8" s="92" t="s">
        <v>85</v>
      </c>
      <c r="L8" s="129" t="s">
        <v>82</v>
      </c>
      <c r="M8" s="110" t="s">
        <v>83</v>
      </c>
      <c r="N8" s="109">
        <f>IF($E8&lt;=0,0, SUMIFS(AC!$K:$K, AC!$E:$E, "OUVIDORIA", AC!$A:$A, $A8, AC!$C:$C, $B8) / $E8)</f>
        <v>0.14701595976675008</v>
      </c>
      <c r="O8" s="110" t="s">
        <v>80</v>
      </c>
      <c r="P8" s="109">
        <f>IF($F8&lt;=0,0, SUMIFS(AC!$K:$K, AC!$E:$E, "CORREGEDORIA", AC!$A:$A, $A8, AC!$C:$C, $B8) / $F8)</f>
        <v>0.85938813332627673</v>
      </c>
      <c r="Q8" s="110" t="s">
        <v>80</v>
      </c>
      <c r="R8" s="109">
        <f>IF($G8&lt;=0,0, SUMIFS(AC!$K:$K, AC!$E:$E, "ESCOLA PENAL", AC!$A:$A, $A8, AC!$C:$C, $B8) / $G8)</f>
        <v>0.21172325952237897</v>
      </c>
      <c r="S8" s="110" t="s">
        <v>84</v>
      </c>
    </row>
    <row r="9" spans="1:19" ht="31.8" thickBot="1" x14ac:dyDescent="0.35">
      <c r="A9" s="100" t="s">
        <v>39</v>
      </c>
      <c r="B9" s="90">
        <v>937878</v>
      </c>
      <c r="C9" s="99">
        <v>968858.15</v>
      </c>
      <c r="D9" s="95">
        <f>IFERROR(SUMIFS(#REF!,#REF!, $A9,#REF!, $B9), 0)</f>
        <v>0</v>
      </c>
      <c r="E9" s="91">
        <f>IFERROR(SUMIFS(#REF!,#REF!, "OUVIDORIA",#REF!, $A9,#REF!, $B9), 0)</f>
        <v>0</v>
      </c>
      <c r="F9" s="91">
        <f>IFERROR(SUMIFS(#REF!,#REF!, "CORREGEDORIA",#REF!, $A9,#REF!, $B9), 0)</f>
        <v>0</v>
      </c>
      <c r="G9" s="106">
        <f>IFERROR(SUMIFS(#REF!,#REF!, "ESCOLA PENAL",#REF!, $A9,#REF!, $B9), 0)</f>
        <v>0</v>
      </c>
      <c r="H9" s="109">
        <f t="shared" si="0"/>
        <v>0</v>
      </c>
      <c r="I9" s="92" t="s">
        <v>86</v>
      </c>
      <c r="J9" s="90" t="s">
        <v>29</v>
      </c>
      <c r="K9" s="126" t="s">
        <v>85</v>
      </c>
      <c r="L9" s="125" t="s">
        <v>90</v>
      </c>
      <c r="M9" s="124" t="s">
        <v>91</v>
      </c>
      <c r="N9" s="98" t="s">
        <v>89</v>
      </c>
      <c r="O9" s="114" t="s">
        <v>89</v>
      </c>
      <c r="P9" s="109">
        <f>IF($F9&lt;=0,0, SUMIFS(#REF!,#REF!, "CORREGEDORIA",#REF!, $A9,#REF!, $B9) / $F9)</f>
        <v>0</v>
      </c>
      <c r="Q9" s="110" t="s">
        <v>86</v>
      </c>
      <c r="R9" s="109">
        <f>IF($G9&lt;=0,0, SUMIFS(#REF!,#REF!, "ESCOLA PENAL",#REF!, $A9,#REF!, $B9) / $G9)</f>
        <v>0</v>
      </c>
      <c r="S9" s="110" t="s">
        <v>80</v>
      </c>
    </row>
    <row r="10" spans="1:19" ht="31.2" x14ac:dyDescent="0.3">
      <c r="A10" s="116" t="s">
        <v>40</v>
      </c>
      <c r="B10" s="90">
        <v>937265</v>
      </c>
      <c r="C10" s="99">
        <v>548000</v>
      </c>
      <c r="D10" s="95">
        <f>IFERROR(SUMIFS(MS!$K:$K, MS!$A:$A, $A10, MS!$C:$C, $B10), 0)</f>
        <v>311441.87999999995</v>
      </c>
      <c r="E10" s="91">
        <f>IFERROR(SUMIFS(MS!$J:$J, MS!$E:$E, "OUVIDORIA", MS!$A:$A, $A10, MS!$C:$C, $B10), 0)</f>
        <v>127595.46999999999</v>
      </c>
      <c r="F10" s="91">
        <f>IFERROR(SUMIFS(MS!$J:$J, MS!$E:$E, "CORREGEDORIA", MS!$A:$A, $A10, MS!$C:$C, $B10), 0)</f>
        <v>120294.2</v>
      </c>
      <c r="G10" s="106">
        <f>IFERROR(SUMIFS(MS!$J:$J, MS!$E:$E, "ESCOLA PENAL", MS!$A:$A, $A10, MS!$C:$C, $B10), 0)</f>
        <v>300110.32999999996</v>
      </c>
      <c r="H10" s="109">
        <f t="shared" si="0"/>
        <v>0.56832459854014594</v>
      </c>
      <c r="I10" s="92" t="s">
        <v>80</v>
      </c>
      <c r="J10" s="90" t="s">
        <v>29</v>
      </c>
      <c r="K10" s="92" t="s">
        <v>85</v>
      </c>
      <c r="L10" s="122" t="s">
        <v>82</v>
      </c>
      <c r="M10" s="110" t="s">
        <v>83</v>
      </c>
      <c r="N10" s="109">
        <f>IF($E10&lt;=0,0, SUMIFS(MS!$K:$K, MS!$E:$E, "OUVIDORIA", MS!$A:$A, $A10, MS!$C:$C, $B10) / $E10)</f>
        <v>0.71172816715201581</v>
      </c>
      <c r="O10" s="110" t="s">
        <v>80</v>
      </c>
      <c r="P10" s="109">
        <f>IF($F10&lt;=0,0, SUMIFS(MS!$K:$K, MS!$E:$E, "CORREGEDORIA", MS!$A:$A, $A10, MS!$C:$C, $B10) / $F10)</f>
        <v>6.3471888087704986E-2</v>
      </c>
      <c r="Q10" s="110" t="s">
        <v>80</v>
      </c>
      <c r="R10" s="109">
        <f>IF($G10&lt;=0,0, SUMIFS(MS!$K:$K, MS!$E:$E, "ESCOLA PENAL", MS!$A:$A, $A10, MS!$C:$C, $B10) / $G10)</f>
        <v>0.70971662321653506</v>
      </c>
      <c r="S10" s="110" t="s">
        <v>80</v>
      </c>
    </row>
    <row r="11" spans="1:19" ht="31.8" thickBot="1" x14ac:dyDescent="0.35">
      <c r="A11" s="116" t="s">
        <v>42</v>
      </c>
      <c r="B11" s="90">
        <v>938128</v>
      </c>
      <c r="C11" s="99">
        <v>3846559.5</v>
      </c>
      <c r="D11" s="95">
        <f>IFERROR(SUMIFS(SP!$K:$K, SP!$A:$A, $A11, SP!$C:$C, $B11), 0)</f>
        <v>1068101.92</v>
      </c>
      <c r="E11" s="91">
        <f>IFERROR(SUMIFS(SP!$J:$J, SP!$E:$E, "OUVIDORIA", SP!$A:$A, $A11, SP!$C:$C, $B11), 0)</f>
        <v>27513.730000000003</v>
      </c>
      <c r="F11" s="91">
        <f>IFERROR(SUMIFS(SP!$J:$J, SP!$E:$E, "CORREGEDORIA", SP!$A:$A, $A11, SP!$C:$C, $B11), 0)</f>
        <v>542449.85</v>
      </c>
      <c r="G11" s="106">
        <f>IFERROR(SUMIFS(SP!$J:$J, SP!$E:$E, "ESCOLA PENAL", SP!$A:$A, $A11, SP!$C:$C, $B11), 0)</f>
        <v>2195566.86</v>
      </c>
      <c r="H11" s="109">
        <f t="shared" si="0"/>
        <v>0.27767721258438871</v>
      </c>
      <c r="I11" s="92" t="s">
        <v>86</v>
      </c>
      <c r="J11" s="127" t="s">
        <v>29</v>
      </c>
      <c r="K11" s="92" t="s">
        <v>85</v>
      </c>
      <c r="L11" s="129" t="s">
        <v>82</v>
      </c>
      <c r="M11" s="110" t="s">
        <v>91</v>
      </c>
      <c r="N11" s="109">
        <f>IF($E11&lt;=0,0, SUMIFS(SP!$K:$K, SP!$E:$E, "OUVIDORIA", SP!$A:$A, $A11, SP!$C:$C, $B11) / $E11)</f>
        <v>0.7299642760178281</v>
      </c>
      <c r="O11" s="110" t="s">
        <v>80</v>
      </c>
      <c r="P11" s="109">
        <f>IF($F11&lt;=0,0, SUMIFS(SP!$K:$K, SP!$E:$E, "CORREGEDORIA", SP!$A:$A, $A11, SP!$C:$C, $B11) / $F11)</f>
        <v>8.2606124787388185E-2</v>
      </c>
      <c r="Q11" s="110" t="s">
        <v>86</v>
      </c>
      <c r="R11" s="109">
        <f>IF($G11&lt;=0,0, SUMIFS(SP!$K:$K, SP!$E:$E, "ESCOLA PENAL", SP!$A:$A, $A11, SP!$C:$C, $B11) / $G11)</f>
        <v>0.45692445913489516</v>
      </c>
      <c r="S11" s="110" t="s">
        <v>84</v>
      </c>
    </row>
    <row r="12" spans="1:19" ht="31.8" thickBot="1" x14ac:dyDescent="0.35">
      <c r="A12" s="100" t="s">
        <v>44</v>
      </c>
      <c r="B12" s="90">
        <v>938277</v>
      </c>
      <c r="C12" s="99">
        <v>346697.9</v>
      </c>
      <c r="D12" s="95">
        <f>IFERROR(SUMIFS(MA!$K:$K, MA!$A:$A, $A12, MA!$C:$C, $B12), 0)</f>
        <v>69485.849999999991</v>
      </c>
      <c r="E12" s="91">
        <f>IFERROR(SUMIFS(MA!$J:$J, MA!$E:$E, "OUVIDORIA", MA!$A:$A, $A12, MA!$C:$C, $B12), 0)</f>
        <v>105039.86</v>
      </c>
      <c r="F12" s="91">
        <f>IFERROR(SUMIFS(MA!$J:$J, MA!$E:$E, "CORREGEDORIA", MA!$A:$A, $A12, MA!$C:$C, $B12), 0)</f>
        <v>108270.24</v>
      </c>
      <c r="G12" s="106">
        <f>IFERROR(SUMIFS(MA!$J:$J, MA!$E:$E, "ESCOLA PENAL", MA!$A:$A, $A12, MA!$C:$C, $B12), 0)</f>
        <v>120195.46999999999</v>
      </c>
      <c r="H12" s="109">
        <f t="shared" si="0"/>
        <v>0.20042189468121954</v>
      </c>
      <c r="I12" s="126" t="s">
        <v>84</v>
      </c>
      <c r="J12" s="128" t="s">
        <v>92</v>
      </c>
      <c r="K12" s="130" t="s">
        <v>85</v>
      </c>
      <c r="L12" s="125" t="s">
        <v>90</v>
      </c>
      <c r="M12" s="124" t="s">
        <v>88</v>
      </c>
      <c r="N12" s="109">
        <f>IF($E12&lt;=0,0, SUMIFS(MA!$K:$K, MA!$E:$E, "OUVIDORIA", MA!$A:$A, $A12, MA!$C:$C, $B12) / $E12)</f>
        <v>0.1384912356128426</v>
      </c>
      <c r="O12" s="110" t="s">
        <v>80</v>
      </c>
      <c r="P12" s="109">
        <f>IF($F12&lt;=0,0, SUMIFS(MA!$K:$K, MA!$E:$E, "CORREGEDORIA", MA!$A:$A, $A12, MA!$C:$C, $B12) / $F12)</f>
        <v>5.8319257443227239E-2</v>
      </c>
      <c r="Q12" s="92" t="s">
        <v>84</v>
      </c>
      <c r="R12" s="109">
        <f>IF($G12&lt;=0,0, SUMIFS(MA!$K:$K, MA!$E:$E, "ESCOLA PENAL", MA!$A:$A, $A12, MA!$C:$C, $B12) / $G12)</f>
        <v>0.40454527945187951</v>
      </c>
      <c r="S12" s="110" t="s">
        <v>80</v>
      </c>
    </row>
    <row r="13" spans="1:19" ht="31.8" thickBot="1" x14ac:dyDescent="0.35">
      <c r="A13" s="100" t="s">
        <v>46</v>
      </c>
      <c r="B13" s="90">
        <v>937818</v>
      </c>
      <c r="C13" s="99">
        <v>317757.09000000003</v>
      </c>
      <c r="D13" s="95">
        <f>IFERROR(SUMIFS(PB!$K:$K, PB!$A:$A, $A13, PB!$C:$C, $B13), 0)</f>
        <v>31085</v>
      </c>
      <c r="E13" s="91">
        <f>IFERROR(SUMIFS(PB!$J:$J, PB!$E:$E, "OUVIDORIA", PB!$A:$A, $A13, PB!$C:$C, $B13), 0)</f>
        <v>27434.02</v>
      </c>
      <c r="F13" s="91">
        <f>IFERROR(SUMIFS(PB!$J:$J, PB!$E:$E, "CORREGEDORIA", PB!$A:$A, $A13, PB!$C:$C, $B13), 0)</f>
        <v>95535.05</v>
      </c>
      <c r="G13" s="106">
        <f>IFERROR(SUMIFS(PB!$J:$J, PB!$E:$E, "ESCOLA PENAL", PB!$A:$A, $A13, PB!$C:$C, $B13), 0)</f>
        <v>194788.02000000002</v>
      </c>
      <c r="H13" s="109">
        <f t="shared" si="0"/>
        <v>9.7826298698795347E-2</v>
      </c>
      <c r="I13" s="126" t="s">
        <v>86</v>
      </c>
      <c r="J13" s="128" t="s">
        <v>92</v>
      </c>
      <c r="K13" s="130" t="s">
        <v>85</v>
      </c>
      <c r="L13" s="125" t="s">
        <v>90</v>
      </c>
      <c r="M13" s="124" t="s">
        <v>83</v>
      </c>
      <c r="N13" s="109">
        <f>IF($E13&lt;=0,0, SUMIFS(PB!$K:$K, PB!$E:$E, "OUVIDORIA", PB!$A:$A, $A13, PB!$C:$C, $B13) / $E13)</f>
        <v>9.6959905985342279E-2</v>
      </c>
      <c r="O13" s="110" t="s">
        <v>80</v>
      </c>
      <c r="P13" s="109">
        <f>IF($F13&lt;=0,0, SUMIFS(PB!$K:$K, PB!$E:$E, "CORREGEDORIA", PB!$A:$A, $A13, PB!$C:$C, $B13) / $F13)</f>
        <v>0</v>
      </c>
      <c r="Q13" s="110" t="s">
        <v>86</v>
      </c>
      <c r="R13" s="109">
        <f>IF($G13&lt;=0,0, SUMIFS(PB!$K:$K, PB!$E:$E, "ESCOLA PENAL", PB!$A:$A, $A13, PB!$C:$C, $B13) / $G13)</f>
        <v>0.14592786558434137</v>
      </c>
      <c r="S13" s="110" t="s">
        <v>80</v>
      </c>
    </row>
    <row r="14" spans="1:19" ht="31.8" thickBot="1" x14ac:dyDescent="0.35">
      <c r="A14" s="100" t="s">
        <v>48</v>
      </c>
      <c r="B14" s="90">
        <v>937780</v>
      </c>
      <c r="C14" s="99">
        <v>408371.26</v>
      </c>
      <c r="D14" s="95">
        <f>IFERROR(SUMIFS(PI!$K:$K, PI!$A:$A, $A14, PI!$C:$C, $B14), 0)</f>
        <v>26473.8</v>
      </c>
      <c r="E14" s="91">
        <f>IFERROR(SUMIFS(PI!$J:$J, PI!$E:$E, "OUVIDORIA", PI!$A:$A, $A14, PI!$C:$C, $B14), 0)</f>
        <v>44450.77</v>
      </c>
      <c r="F14" s="91">
        <f>IFERROR(SUMIFS(PI!$J:$J, PI!$E:$E, "CORREGEDORIA", PI!$A:$A, $A14, PI!$C:$C, $B14), 0)</f>
        <v>169138</v>
      </c>
      <c r="G14" s="106">
        <f>IFERROR(SUMIFS(PI!$J:$J, PI!$E:$E, "ESCOLA PENAL", PI!$A:$A, $A14, PI!$C:$C, $B14), 0)</f>
        <v>194777.46000000002</v>
      </c>
      <c r="H14" s="109">
        <f t="shared" si="0"/>
        <v>6.4827774608820415E-2</v>
      </c>
      <c r="I14" s="92" t="s">
        <v>84</v>
      </c>
      <c r="J14" s="123" t="s">
        <v>29</v>
      </c>
      <c r="K14" s="126" t="s">
        <v>85</v>
      </c>
      <c r="L14" s="125" t="s">
        <v>90</v>
      </c>
      <c r="M14" s="124" t="s">
        <v>88</v>
      </c>
      <c r="N14" s="109">
        <f>IF($E14&lt;=0,0, SUMIFS(PI!$K:$K, PI!$E:$E, "OUVIDORIA", PI!$A:$A, $A14, PI!$C:$C, $B14) / $E14)</f>
        <v>0</v>
      </c>
      <c r="O14" s="110" t="s">
        <v>80</v>
      </c>
      <c r="P14" s="109">
        <f>IF($F14&lt;=0,0, SUMIFS(PI!$K:$K, PI!$E:$E, "CORREGEDORIA", PI!$A:$A, $A14, PI!$C:$C, $B14) / $F14)</f>
        <v>0</v>
      </c>
      <c r="Q14" s="110" t="s">
        <v>84</v>
      </c>
      <c r="R14" s="109">
        <f>IF($G14&lt;=0,0, SUMIFS(PI!$K:$K, PI!$E:$E, "ESCOLA PENAL", PI!$A:$A, $A14, PI!$C:$C, $B14) / $G14)</f>
        <v>0.13591819094468116</v>
      </c>
      <c r="S14" s="110" t="s">
        <v>80</v>
      </c>
    </row>
    <row r="15" spans="1:19" ht="31.8" thickBot="1" x14ac:dyDescent="0.35">
      <c r="A15" s="100" t="s">
        <v>50</v>
      </c>
      <c r="B15" s="90">
        <v>937917</v>
      </c>
      <c r="C15" s="99">
        <v>234072.01</v>
      </c>
      <c r="D15" s="95">
        <f>IFERROR(SUMIFS(RO!$K:$K, RO!$A:$A, $A15, RO!$C:$C, $B15), 0)</f>
        <v>13450</v>
      </c>
      <c r="E15" s="91">
        <f>IFERROR(SUMIFS(RO!$J:$J, RO!$E:$E, "OUVIDORIA", RO!$A:$A, $A15, RO!$C:$C, $B15), 0)</f>
        <v>86734.48000000001</v>
      </c>
      <c r="F15" s="91">
        <f>IFERROR(SUMIFS(RO!$J:$J, RO!$E:$E, "CORREGEDORIA", RO!$A:$A, $A15, RO!$C:$C, $B15), 0)</f>
        <v>61475.44</v>
      </c>
      <c r="G15" s="106">
        <f>IFERROR(SUMIFS(RO!$J:$J, RO!$E:$E, "ESCOLA PENAL", RO!$A:$A, $A15, RO!$C:$C, $B15), 0)</f>
        <v>85862.09</v>
      </c>
      <c r="H15" s="109">
        <f t="shared" si="0"/>
        <v>5.7460949730811471E-2</v>
      </c>
      <c r="I15" s="92" t="s">
        <v>80</v>
      </c>
      <c r="J15" s="127" t="s">
        <v>29</v>
      </c>
      <c r="K15" s="126" t="s">
        <v>85</v>
      </c>
      <c r="L15" s="125" t="s">
        <v>90</v>
      </c>
      <c r="M15" s="124" t="s">
        <v>88</v>
      </c>
      <c r="N15" s="109">
        <f>IF($E15&lt;=0,0, SUMIFS(RO!$K:$K, RO!$E:$E, "OUVIDORIA", RO!$A:$A, $A15, RO!$C:$C, $B15) / $E15)</f>
        <v>0.15507097062206401</v>
      </c>
      <c r="O15" s="110" t="s">
        <v>80</v>
      </c>
      <c r="P15" s="109">
        <f>IF($F15&lt;=0,0, SUMIFS(RO!$K:$K, RO!$E:$E, "CORREGEDORIA", RO!$A:$A, $A15, RO!$C:$C, $B15) / $F15)</f>
        <v>0</v>
      </c>
      <c r="Q15" s="110" t="s">
        <v>80</v>
      </c>
      <c r="R15" s="109">
        <f>IF($G15&lt;=0,0, SUMIFS(RO!$K:$K, RO!$E:$E, "ESCOLA PENAL", RO!$A:$A, $A15, RO!$C:$C, $B15) / $G15)</f>
        <v>0</v>
      </c>
      <c r="S15" s="110" t="s">
        <v>80</v>
      </c>
    </row>
    <row r="16" spans="1:19" ht="31.8" thickBot="1" x14ac:dyDescent="0.35">
      <c r="A16" s="100" t="s">
        <v>52</v>
      </c>
      <c r="B16" s="90">
        <v>937468</v>
      </c>
      <c r="C16" s="99">
        <v>265260.78000000003</v>
      </c>
      <c r="D16" s="95">
        <f>IFERROR(SUMIFS(TO!$K:$K, TO!$A:$A, $A16, TO!$C:$C, $B16), 0)</f>
        <v>17125.91</v>
      </c>
      <c r="E16" s="91">
        <f>IFERROR(SUMIFS(TO!$J:$J, TO!$E:$E, "OUVIDORIA", TO!$A:$A, $A16, TO!$C:$C, $B16), 0)</f>
        <v>61018.73</v>
      </c>
      <c r="F16" s="91">
        <f>IFERROR(SUMIFS(TO!$J:$J, TO!$E:$E, "CORREGEDORIA", TO!$A:$A, $A16, TO!$C:$C, $B16), 0)</f>
        <v>105826.66</v>
      </c>
      <c r="G16" s="106">
        <f>IFERROR(SUMIFS(TO!$J:$J, TO!$E:$E, "ESCOLA PENAL", TO!$A:$A, $A16, TO!$C:$C, $B16), 0)</f>
        <v>104267.81</v>
      </c>
      <c r="H16" s="109">
        <f t="shared" si="0"/>
        <v>6.4562541058651779E-2</v>
      </c>
      <c r="I16" s="126" t="s">
        <v>80</v>
      </c>
      <c r="J16" s="128" t="s">
        <v>92</v>
      </c>
      <c r="K16" s="130" t="s">
        <v>85</v>
      </c>
      <c r="L16" s="125" t="s">
        <v>90</v>
      </c>
      <c r="M16" s="124" t="s">
        <v>88</v>
      </c>
      <c r="N16" s="109">
        <f>IF($E16&lt;=0,0, SUMIFS(TO!$K:$K, TO!$E:$E, "OUVIDORIA", TO!$A:$A, $A16, TO!$C:$C, $B16) / $E16)</f>
        <v>2.2026023812688332E-2</v>
      </c>
      <c r="O16" s="110" t="s">
        <v>80</v>
      </c>
      <c r="P16" s="109">
        <f>IF($F16&lt;=0,0, SUMIFS(TO!$K:$K, TO!$E:$E, "CORREGEDORIA", TO!$A:$A, $A16, TO!$C:$C, $B16) / $F16)</f>
        <v>0.11305194740153379</v>
      </c>
      <c r="Q16" s="110" t="s">
        <v>80</v>
      </c>
      <c r="R16" s="109">
        <f>IF($G16&lt;=0,0, SUMIFS(TO!$K:$K, TO!$E:$E, "ESCOLA PENAL", TO!$A:$A, $A16, TO!$C:$C, $B16) / $G16)</f>
        <v>3.6617245533400962E-2</v>
      </c>
      <c r="S16" s="110" t="s">
        <v>80</v>
      </c>
    </row>
    <row r="17" spans="1:19" ht="31.8" thickBot="1" x14ac:dyDescent="0.35">
      <c r="A17" s="116" t="s">
        <v>54</v>
      </c>
      <c r="B17" s="90">
        <v>937817</v>
      </c>
      <c r="C17" s="99">
        <v>1583018.92</v>
      </c>
      <c r="D17" s="95">
        <f>IFERROR(SUMIFS(RJ!$K:$K, RJ!$A:$A, $A17, RJ!$C:$C, $B17), 0)</f>
        <v>153079.45000000001</v>
      </c>
      <c r="E17" s="91">
        <f>IFERROR(SUMIFS(RJ!$J:$J, RJ!$E:$E, "OUVIDORIA", RJ!$A:$A, $A17, RJ!$C:$C, $B17), 0)</f>
        <v>323838.90000000002</v>
      </c>
      <c r="F17" s="91">
        <f>IFERROR(SUMIFS(RJ!$J:$J, RJ!$E:$E, "CORREGEDORIA", RJ!$A:$A, $A17, RJ!$C:$C, $B17), 0)</f>
        <v>601790.9</v>
      </c>
      <c r="G17" s="106">
        <f>IFERROR(SUMIFS(RJ!$J:$J, RJ!$E:$E, "ESCOLA PENAL", RJ!$A:$A, $A17, RJ!$C:$C, $B17), 0)</f>
        <v>657205.77</v>
      </c>
      <c r="H17" s="109">
        <f t="shared" si="0"/>
        <v>9.6700960466094762E-2</v>
      </c>
      <c r="I17" s="92" t="s">
        <v>80</v>
      </c>
      <c r="J17" s="123" t="s">
        <v>29</v>
      </c>
      <c r="K17" s="92" t="s">
        <v>85</v>
      </c>
      <c r="L17" s="131" t="s">
        <v>82</v>
      </c>
      <c r="M17" s="110" t="s">
        <v>88</v>
      </c>
      <c r="N17" s="109">
        <f>IF($E17&lt;=0,0, SUMIFS(RJ!$K:$K, RJ!$E:$E, "OUVIDORIA", RJ!$A:$A, $A17, RJ!$C:$C, $B17) / $E17)</f>
        <v>0</v>
      </c>
      <c r="O17" s="110" t="s">
        <v>80</v>
      </c>
      <c r="P17" s="109">
        <f>IF($F17&lt;=0,0, SUMIFS(RJ!$K:$K, RJ!$E:$E, "CORREGEDORIA", RJ!$A:$A, $A17, RJ!$C:$C, $B17) / $F17)</f>
        <v>0</v>
      </c>
      <c r="Q17" s="110" t="s">
        <v>80</v>
      </c>
      <c r="R17" s="109">
        <f>IF($G17&lt;=0,0, SUMIFS(RJ!$K:$K, RJ!$E:$E, "ESCOLA PENAL", RJ!$A:$A, $A17, RJ!$C:$C, $B17) / $G17)</f>
        <v>0.2329246896295509</v>
      </c>
      <c r="S17" s="110" t="s">
        <v>80</v>
      </c>
    </row>
    <row r="18" spans="1:19" s="1" customFormat="1" ht="47.4" thickBot="1" x14ac:dyDescent="0.35">
      <c r="A18" s="100" t="s">
        <v>60</v>
      </c>
      <c r="B18" s="90">
        <v>937783</v>
      </c>
      <c r="C18" s="99">
        <v>581020.22</v>
      </c>
      <c r="D18" s="95">
        <f>IFERROR(SUMIFS(SC!$K:$K, SC!$A:$A, $A18, SC!$C:$C, $B18), 0)</f>
        <v>44897.82</v>
      </c>
      <c r="E18" s="91">
        <f>IFERROR(SUMIFS(SC!$J:$J, SC!$E:$E, "OUVIDORIA", SC!$A:$A, $A18, SC!$C:$C, $B18), 0)</f>
        <v>140216.70000000001</v>
      </c>
      <c r="F18" s="91">
        <f>IFERROR(SUMIFS(SC!$J:$J, SC!$E:$E, "CORREGEDORIA", SC!$A:$A, $A18, SC!$C:$C, $B18), 0)</f>
        <v>147416.70000000001</v>
      </c>
      <c r="G18" s="106">
        <f>IFERROR(SUMIFS(SC!$J:$J, SC!$E:$E, "ESCOLA PENAL", SC!$A:$A, $A18, SC!$C:$C, $B18), 0)</f>
        <v>182011.85</v>
      </c>
      <c r="H18" s="109">
        <f t="shared" si="0"/>
        <v>7.7274109324456899E-2</v>
      </c>
      <c r="I18" s="92" t="s">
        <v>80</v>
      </c>
      <c r="J18" s="90" t="s">
        <v>29</v>
      </c>
      <c r="K18" s="126" t="s">
        <v>85</v>
      </c>
      <c r="L18" s="125" t="s">
        <v>90</v>
      </c>
      <c r="M18" s="124" t="s">
        <v>88</v>
      </c>
      <c r="N18" s="109">
        <f>IF($E18&lt;=0,0, SUMIFS(SC!$K:$K, SC!$E:$E, "OUVIDORIA", SC!$A:$A, $A18, SC!$C:$C, $B18) / $E18)</f>
        <v>0</v>
      </c>
      <c r="O18" s="110" t="s">
        <v>80</v>
      </c>
      <c r="P18" s="109">
        <f>IF($F18&lt;=0,0, SUMIFS(SC!$K:$K, SC!$E:$E, "CORREGEDORIA", SC!$A:$A, $A18, SC!$C:$C, $B18) / $F18)</f>
        <v>0</v>
      </c>
      <c r="Q18" s="110" t="s">
        <v>80</v>
      </c>
      <c r="R18" s="109">
        <f>IF($G18&lt;=0,0, SUMIFS(SC!$K:$K, SC!$E:$E, "ESCOLA PENAL", SC!$A:$A, $A18, SC!$C:$C, $B18) / $G18)</f>
        <v>0.24667525768239815</v>
      </c>
      <c r="S18" s="110" t="s">
        <v>86</v>
      </c>
    </row>
    <row r="19" spans="1:19" ht="31.2" x14ac:dyDescent="0.3">
      <c r="A19" s="117" t="s">
        <v>56</v>
      </c>
      <c r="B19" s="90">
        <v>937221</v>
      </c>
      <c r="C19" s="99">
        <v>171603.5</v>
      </c>
      <c r="D19" s="95">
        <f>IFERROR(SUMIFS(AL!$K:$K, AL!$A:$A, $A19, AL!$C:$C, $B19), 0)</f>
        <v>0</v>
      </c>
      <c r="E19" s="91">
        <f>IFERROR(SUMIFS(AL!$J:$J, AL!$E:$E, "OUVIDORIA", AL!$A:$A, $A19, AL!$C:$C, $B19), 0)</f>
        <v>39023.53</v>
      </c>
      <c r="F19" s="91">
        <f>IFERROR(SUMIFS(AL!$J:$J, AL!$E:$E, "CORREGEDORIA", AL!$A:$A, $A19, AL!$C:$C, $B19), 0)</f>
        <v>63936.469999999987</v>
      </c>
      <c r="G19" s="106">
        <f>IFERROR(SUMIFS(AL!$J:$J, AL!$E:$E, "ESCOLA PENAL", AL!$A:$A, $A19, AL!$C:$C, $B19), 0)</f>
        <v>68640</v>
      </c>
      <c r="H19" s="109">
        <f t="shared" si="0"/>
        <v>0</v>
      </c>
      <c r="I19" s="92" t="s">
        <v>86</v>
      </c>
      <c r="J19" s="90" t="s">
        <v>29</v>
      </c>
      <c r="K19" s="92" t="s">
        <v>85</v>
      </c>
      <c r="L19" s="122" t="s">
        <v>82</v>
      </c>
      <c r="M19" s="110" t="s">
        <v>88</v>
      </c>
      <c r="N19" s="109">
        <f>IF($E19&lt;=0,0, SUMIFS(AL!$K:$K, AL!$E:$E, "OUVIDORIA", AL!$A:$A, $A19, AL!$C:$C, $B19) / $E19)</f>
        <v>0</v>
      </c>
      <c r="O19" s="110" t="s">
        <v>80</v>
      </c>
      <c r="P19" s="109">
        <f>IF($F19&lt;=0,0, SUMIFS(AL!$K:$K, AL!$E:$E, "CORREGEDORIA", AL!$A:$A, $A19, AL!$C:$C, $B19) / $F19)</f>
        <v>0</v>
      </c>
      <c r="Q19" s="110" t="s">
        <v>80</v>
      </c>
      <c r="R19" s="109">
        <f>IF($G19&lt;=0,0, SUMIFS(AL!$K:$K, AL!$E:$E, "ESCOLA PENAL", AL!$A:$A, $A19, AL!$C:$C, $B19) / $G19)</f>
        <v>0</v>
      </c>
      <c r="S19" s="110" t="s">
        <v>84</v>
      </c>
    </row>
    <row r="20" spans="1:19" ht="31.8" thickBot="1" x14ac:dyDescent="0.35">
      <c r="A20" s="117" t="s">
        <v>58</v>
      </c>
      <c r="B20" s="90">
        <v>937263</v>
      </c>
      <c r="C20" s="99">
        <v>191556.03</v>
      </c>
      <c r="D20" s="95">
        <f>IFERROR(SUMIFS(#REF!,#REF!, $A20,#REF!, $B20), 0)</f>
        <v>0</v>
      </c>
      <c r="E20" s="91">
        <f>IFERROR(SUMIFS(#REF!,#REF!, "OUVIDORIA",#REF!, $A20,#REF!, $B20), 0)</f>
        <v>0</v>
      </c>
      <c r="F20" s="91">
        <f>IFERROR(SUMIFS(#REF!,#REF!, "CORREGEDORIA",#REF!, $A20,#REF!, $B20), 0)</f>
        <v>0</v>
      </c>
      <c r="G20" s="106">
        <f>IFERROR(SUMIFS(#REF!,#REF!, "ESCOLA PENAL",#REF!, $A20,#REF!, $B20), 0)</f>
        <v>0</v>
      </c>
      <c r="H20" s="109">
        <f t="shared" si="0"/>
        <v>0</v>
      </c>
      <c r="I20" s="92" t="s">
        <v>80</v>
      </c>
      <c r="J20" s="127" t="s">
        <v>29</v>
      </c>
      <c r="K20" s="92" t="s">
        <v>81</v>
      </c>
      <c r="L20" s="129" t="s">
        <v>82</v>
      </c>
      <c r="M20" s="110" t="s">
        <v>83</v>
      </c>
      <c r="N20" s="109">
        <f>IF($E20&lt;=0,0, SUMIFS(#REF!,#REF!, "OUVIDORIA",#REF!, $A20,#REF!, $B20) / $E20)</f>
        <v>0</v>
      </c>
      <c r="O20" s="110" t="s">
        <v>80</v>
      </c>
      <c r="P20" s="109">
        <f>IF($F20&lt;=0,0, SUMIFS(#REF!,#REF!, "CORREGEDORIA",#REF!, $A20,#REF!, $B20) / $F20)</f>
        <v>0</v>
      </c>
      <c r="Q20" s="110" t="s">
        <v>80</v>
      </c>
      <c r="R20" s="109">
        <f>IF($G20&lt;=0,0, SUMIFS(#REF!,#REF!, "ESCOLA PENAL",#REF!, $A20,#REF!, $B20) / $G20)</f>
        <v>0</v>
      </c>
      <c r="S20" s="110" t="s">
        <v>80</v>
      </c>
    </row>
    <row r="21" spans="1:19" ht="31.8" thickBot="1" x14ac:dyDescent="0.35">
      <c r="A21" s="100" t="s">
        <v>59</v>
      </c>
      <c r="B21" s="90">
        <v>937781</v>
      </c>
      <c r="C21" s="99">
        <v>300000</v>
      </c>
      <c r="D21" s="95">
        <f>IFERROR(SUMIFS(#REF!,#REF!, $A21,#REF!, $B21), 0)</f>
        <v>0</v>
      </c>
      <c r="E21" s="91">
        <f>IFERROR(SUMIFS(#REF!,#REF!, "OUVIDORIA",#REF!, $A21,#REF!, $B21), 0)</f>
        <v>0</v>
      </c>
      <c r="F21" s="91">
        <f>IFERROR(SUMIFS(#REF!,#REF!, "CORREGEDORIA",#REF!, $A21,#REF!, $B21), 0)</f>
        <v>0</v>
      </c>
      <c r="G21" s="106">
        <f>IFERROR(SUMIFS(#REF!,#REF!, "ESCOLA PENAL",#REF!, $A21,#REF!, $B21), 0)</f>
        <v>0</v>
      </c>
      <c r="H21" s="109">
        <f t="shared" si="0"/>
        <v>0</v>
      </c>
      <c r="I21" s="126" t="s">
        <v>84</v>
      </c>
      <c r="J21" s="128" t="s">
        <v>92</v>
      </c>
      <c r="K21" s="134" t="s">
        <v>85</v>
      </c>
      <c r="L21" s="135" t="s">
        <v>90</v>
      </c>
      <c r="M21" s="136" t="s">
        <v>88</v>
      </c>
      <c r="N21" s="109">
        <f>IF($E21&lt;=0,0, SUMIFS(#REF!,#REF!, "OUVIDORIA",#REF!, $A21,#REF!, $B21) / $E21)</f>
        <v>0</v>
      </c>
      <c r="O21" s="110" t="s">
        <v>84</v>
      </c>
      <c r="P21" s="109">
        <f>IF($F21&lt;=0,0, SUMIFS(#REF!,#REF!, "CORREGEDORIA",#REF!, $A21,#REF!, $B21) / $F21)</f>
        <v>0</v>
      </c>
      <c r="Q21" s="110" t="s">
        <v>84</v>
      </c>
      <c r="R21" s="109">
        <f>IF($G21&lt;=0,0, SUMIFS(#REF!,#REF!, "ESCOLA PENAL",#REF!, $A21,#REF!, $B21) / $G21)</f>
        <v>0</v>
      </c>
      <c r="S21" s="110" t="s">
        <v>80</v>
      </c>
    </row>
    <row r="22" spans="1:19" ht="31.8" thickBot="1" x14ac:dyDescent="0.35">
      <c r="A22" s="101" t="s">
        <v>62</v>
      </c>
      <c r="B22" s="102">
        <v>938161</v>
      </c>
      <c r="C22" s="103">
        <v>300579</v>
      </c>
      <c r="D22" s="95">
        <f>IFERROR(SUMIFS(#REF!,#REF!, $A22,#REF!, $B22), 0)</f>
        <v>0</v>
      </c>
      <c r="E22" s="91">
        <f>IFERROR(SUMIFS(#REF!,#REF!, "OUVIDORIA",#REF!, $A22,#REF!, $B22), 0)</f>
        <v>0</v>
      </c>
      <c r="F22" s="91">
        <f>IFERROR(SUMIFS(#REF!,#REF!, "CORREGEDORIA",#REF!, $A22,#REF!, $B22), 0)</f>
        <v>0</v>
      </c>
      <c r="G22" s="106">
        <f>IFERROR(SUMIFS(#REF!,#REF!, "ESCOLA PENAL",#REF!, $A22,#REF!, $B22), 0)</f>
        <v>0</v>
      </c>
      <c r="H22" s="111">
        <f t="shared" ref="H22" si="1">D22/C22</f>
        <v>0</v>
      </c>
      <c r="I22" s="112" t="s">
        <v>80</v>
      </c>
      <c r="J22" s="132" t="s">
        <v>29</v>
      </c>
      <c r="K22" s="137" t="s">
        <v>93</v>
      </c>
      <c r="L22" s="138" t="s">
        <v>87</v>
      </c>
      <c r="M22" s="139" t="s">
        <v>88</v>
      </c>
      <c r="N22" s="133" t="s">
        <v>89</v>
      </c>
      <c r="O22" s="115" t="s">
        <v>89</v>
      </c>
      <c r="P22" s="111">
        <f>IF($F22&lt;=0,0, SUMIFS(#REF!,#REF!, "CORREGEDORIA",#REF!, $A22,#REF!, $B22) / $F22)</f>
        <v>0</v>
      </c>
      <c r="Q22" s="113" t="s">
        <v>80</v>
      </c>
      <c r="R22" s="111">
        <f>IF($G22&lt;=0,0, SUMIFS(#REF!,#REF!, "ESCOLA PENAL",#REF!, $A22,#REF!, $B22) / $G22)</f>
        <v>0</v>
      </c>
      <c r="S22" s="113" t="s">
        <v>80</v>
      </c>
    </row>
    <row r="29" spans="1:19" x14ac:dyDescent="0.3">
      <c r="C29" s="83"/>
      <c r="D29" s="83"/>
      <c r="E29" s="83"/>
      <c r="F29" s="83"/>
      <c r="G29" s="83"/>
      <c r="H29" s="82"/>
      <c r="N29" s="82"/>
      <c r="O29" s="82"/>
      <c r="P29" s="82"/>
      <c r="Q29" s="82"/>
      <c r="R29" s="82"/>
    </row>
    <row r="30" spans="1:19" x14ac:dyDescent="0.3">
      <c r="C30" s="83"/>
      <c r="D30" s="83"/>
      <c r="E30" s="83"/>
      <c r="F30" s="83"/>
      <c r="G30" s="83"/>
      <c r="H30" s="82"/>
      <c r="N30" s="82"/>
      <c r="O30" s="82"/>
      <c r="P30" s="82"/>
      <c r="Q30" s="82"/>
      <c r="R30" s="82"/>
    </row>
    <row r="31" spans="1:19" x14ac:dyDescent="0.3">
      <c r="C31" s="83"/>
      <c r="D31" s="83"/>
      <c r="E31" s="83"/>
      <c r="F31" s="83"/>
      <c r="G31" s="83"/>
      <c r="H31" s="82"/>
      <c r="N31" s="82"/>
      <c r="O31" s="82"/>
      <c r="P31" s="82"/>
      <c r="Q31" s="82"/>
      <c r="R31" s="82"/>
    </row>
    <row r="32" spans="1:19" x14ac:dyDescent="0.3">
      <c r="C32" s="83"/>
      <c r="D32" s="83"/>
      <c r="E32" s="83"/>
      <c r="F32" s="83"/>
      <c r="G32" s="83"/>
      <c r="H32" s="82"/>
      <c r="N32" s="82"/>
      <c r="O32" s="82"/>
      <c r="P32" s="82"/>
      <c r="Q32" s="82"/>
      <c r="R32" s="82"/>
    </row>
    <row r="33" spans="3:18" x14ac:dyDescent="0.3">
      <c r="C33" s="83"/>
      <c r="D33" s="83"/>
      <c r="E33" s="83"/>
      <c r="F33" s="83"/>
      <c r="G33" s="83"/>
      <c r="H33" s="82"/>
      <c r="N33" s="82"/>
      <c r="O33" s="82"/>
      <c r="P33" s="82"/>
      <c r="Q33" s="82"/>
      <c r="R33" s="82"/>
    </row>
    <row r="34" spans="3:18" x14ac:dyDescent="0.3">
      <c r="C34" s="83"/>
      <c r="D34" s="83"/>
      <c r="E34" s="83"/>
      <c r="F34" s="83"/>
      <c r="G34" s="83"/>
      <c r="H34" s="82"/>
      <c r="N34" s="82"/>
      <c r="O34" s="82"/>
      <c r="P34" s="82"/>
      <c r="Q34" s="82"/>
      <c r="R34" s="82"/>
    </row>
    <row r="35" spans="3:18" x14ac:dyDescent="0.3">
      <c r="C35" s="83"/>
      <c r="D35" s="83"/>
      <c r="E35" s="83"/>
      <c r="F35" s="83"/>
      <c r="G35" s="83"/>
      <c r="H35" s="82"/>
      <c r="N35" s="82"/>
      <c r="O35" s="82"/>
      <c r="P35" s="82"/>
      <c r="Q35" s="82"/>
      <c r="R35" s="82"/>
    </row>
    <row r="36" spans="3:18" x14ac:dyDescent="0.3">
      <c r="C36" s="83"/>
      <c r="D36" s="83"/>
      <c r="E36" s="83"/>
      <c r="F36" s="83"/>
      <c r="G36" s="83"/>
      <c r="H36" s="82"/>
      <c r="N36" s="82"/>
      <c r="O36" s="82"/>
      <c r="P36" s="82"/>
      <c r="Q36" s="82"/>
      <c r="R36" s="82"/>
    </row>
    <row r="37" spans="3:18" x14ac:dyDescent="0.3">
      <c r="C37" s="83"/>
      <c r="D37" s="83"/>
      <c r="E37" s="83"/>
      <c r="F37" s="83"/>
      <c r="G37" s="83"/>
      <c r="H37" s="82"/>
      <c r="N37" s="82"/>
      <c r="O37" s="82"/>
      <c r="P37" s="82"/>
      <c r="Q37" s="82"/>
      <c r="R37" s="82"/>
    </row>
    <row r="38" spans="3:18" x14ac:dyDescent="0.3">
      <c r="C38" s="83"/>
      <c r="D38" s="83"/>
      <c r="E38" s="83"/>
      <c r="F38" s="83"/>
      <c r="G38" s="83"/>
      <c r="H38" s="82"/>
      <c r="N38" s="82"/>
      <c r="O38" s="82"/>
      <c r="P38" s="82"/>
      <c r="Q38" s="82"/>
      <c r="R38" s="82"/>
    </row>
    <row r="39" spans="3:18" x14ac:dyDescent="0.3">
      <c r="C39" s="83"/>
      <c r="D39" s="83"/>
      <c r="E39" s="83"/>
      <c r="F39" s="83"/>
      <c r="G39" s="83"/>
      <c r="H39" s="82"/>
      <c r="N39" s="82"/>
      <c r="O39" s="82"/>
      <c r="P39" s="82"/>
      <c r="Q39" s="82"/>
      <c r="R39" s="82"/>
    </row>
  </sheetData>
  <autoFilter ref="A2:R22" xr:uid="{E4048959-47A0-41AA-B9D2-770F1E5B3E40}">
    <sortState xmlns:xlrd2="http://schemas.microsoft.com/office/spreadsheetml/2017/richdata2" ref="A3:R21">
      <sortCondition descending="1" ref="H2:H22"/>
    </sortState>
  </autoFilter>
  <mergeCells count="5">
    <mergeCell ref="A1:C1"/>
    <mergeCell ref="N1:O1"/>
    <mergeCell ref="P1:Q1"/>
    <mergeCell ref="R1:S1"/>
    <mergeCell ref="H1:M1"/>
  </mergeCells>
  <conditionalFormatting sqref="H3:H22">
    <cfRule type="cellIs" dxfId="39" priority="438" operator="greaterThan">
      <formula>0.7</formula>
    </cfRule>
    <cfRule type="cellIs" dxfId="38" priority="436" operator="lessThan">
      <formula>0.1</formula>
    </cfRule>
    <cfRule type="cellIs" dxfId="37" priority="437" operator="between">
      <formula>0.1</formula>
      <formula>0.7</formula>
    </cfRule>
  </conditionalFormatting>
  <conditionalFormatting sqref="I3:I22">
    <cfRule type="containsText" dxfId="36" priority="329" operator="containsText" text="MAJORITARIAMENTE BENS">
      <formula>NOT(ISERROR(SEARCH("MAJORITARIAMENTE BENS",I3)))</formula>
    </cfRule>
    <cfRule type="containsText" dxfId="35" priority="330" operator="containsText" text="SERVIÇOS">
      <formula>NOT(ISERROR(SEARCH("SERVIÇOS",I3)))</formula>
    </cfRule>
    <cfRule type="containsText" dxfId="34" priority="328" operator="containsText" text="APENAS BENS">
      <formula>NOT(ISERROR(SEARCH("APENAS BENS",I3)))</formula>
    </cfRule>
  </conditionalFormatting>
  <conditionalFormatting sqref="J3:J22">
    <cfRule type="containsText" dxfId="33" priority="173" operator="containsText" text="SIM">
      <formula>NOT(ISERROR(SEARCH("SIM",J3)))</formula>
    </cfRule>
    <cfRule type="containsText" dxfId="32" priority="174" operator="containsText" text="NÃO">
      <formula>NOT(ISERROR(SEARCH("NÃO",J3)))</formula>
    </cfRule>
  </conditionalFormatting>
  <conditionalFormatting sqref="K3:K22">
    <cfRule type="containsText" dxfId="31" priority="180" operator="containsText" text="Dispersão">
      <formula>NOT(ISERROR(SEARCH("Dispersão",K3)))</formula>
    </cfRule>
  </conditionalFormatting>
  <conditionalFormatting sqref="K3:L22">
    <cfRule type="containsText" dxfId="30" priority="175" operator="containsText" text="MÉDIA">
      <formula>NOT(ISERROR(SEARCH("MÉDIA",K3)))</formula>
    </cfRule>
    <cfRule type="containsText" dxfId="29" priority="176" operator="containsText" text="ALTA">
      <formula>NOT(ISERROR(SEARCH("ALTA",K3)))</formula>
    </cfRule>
  </conditionalFormatting>
  <conditionalFormatting sqref="L3:L22">
    <cfRule type="containsText" dxfId="28" priority="177" operator="containsText" text="BAIXA">
      <formula>NOT(ISERROR(SEARCH("BAIXA",L3)))</formula>
    </cfRule>
  </conditionalFormatting>
  <conditionalFormatting sqref="M3:M22">
    <cfRule type="containsText" dxfId="27" priority="428" operator="containsText" text="Atenção">
      <formula>NOT(ISERROR(SEARCH("Atenção",M3)))</formula>
    </cfRule>
    <cfRule type="containsText" dxfId="26" priority="429" operator="containsText" text="Tempestivo">
      <formula>NOT(ISERROR(SEARCH("Tempestivo",M3)))</formula>
    </cfRule>
    <cfRule type="containsText" dxfId="25" priority="430" operator="containsText" text="Atrasado">
      <formula>NOT(ISERROR(SEARCH("Atrasado",M3)))</formula>
    </cfRule>
  </conditionalFormatting>
  <conditionalFormatting sqref="N3:N6 N8 N10:N21">
    <cfRule type="cellIs" dxfId="24" priority="405" operator="lessThan">
      <formula>0.1</formula>
    </cfRule>
    <cfRule type="cellIs" dxfId="23" priority="406" operator="between">
      <formula>0.1</formula>
      <formula>0.7</formula>
    </cfRule>
    <cfRule type="cellIs" dxfId="22" priority="407" operator="greaterThan">
      <formula>0.7</formula>
    </cfRule>
  </conditionalFormatting>
  <conditionalFormatting sqref="O3:O5">
    <cfRule type="containsText" dxfId="21" priority="76" operator="containsText" text="SERVIÇOS">
      <formula>NOT(ISERROR(SEARCH("SERVIÇOS",O3)))</formula>
    </cfRule>
  </conditionalFormatting>
  <conditionalFormatting sqref="O3:O22">
    <cfRule type="containsText" dxfId="20" priority="38" operator="containsText" text="APENAS BENS">
      <formula>NOT(ISERROR(SEARCH("APENAS BENS",O3)))</formula>
    </cfRule>
    <cfRule type="containsText" dxfId="19" priority="39" operator="containsText" text="MAJORITARIAMENTE BENS">
      <formula>NOT(ISERROR(SEARCH("MAJORITARIAMENTE BENS",O3)))</formula>
    </cfRule>
  </conditionalFormatting>
  <conditionalFormatting sqref="O6:O7">
    <cfRule type="containsText" dxfId="18" priority="354" operator="containsText" text="BENS E SERVIÇOS">
      <formula>NOT(ISERROR(SEARCH("BENS E SERVIÇOS",O6)))</formula>
    </cfRule>
  </conditionalFormatting>
  <conditionalFormatting sqref="O8">
    <cfRule type="containsText" dxfId="17" priority="160" operator="containsText" text="SERVIÇOS">
      <formula>NOT(ISERROR(SEARCH("SERVIÇOS",O8)))</formula>
    </cfRule>
  </conditionalFormatting>
  <conditionalFormatting sqref="O9">
    <cfRule type="containsText" dxfId="16" priority="381" operator="containsText" text="BENS E SERVIÇOS">
      <formula>NOT(ISERROR(SEARCH("BENS E SERVIÇOS",O9)))</formula>
    </cfRule>
  </conditionalFormatting>
  <conditionalFormatting sqref="O10:O21">
    <cfRule type="containsText" dxfId="15" priority="40" operator="containsText" text="SERVIÇOS">
      <formula>NOT(ISERROR(SEARCH("SERVIÇOS",O10)))</formula>
    </cfRule>
  </conditionalFormatting>
  <conditionalFormatting sqref="O22">
    <cfRule type="containsText" dxfId="14" priority="228" operator="containsText" text="BENS E SERVIÇOS">
      <formula>NOT(ISERROR(SEARCH("BENS E SERVIÇOS",O22)))</formula>
    </cfRule>
  </conditionalFormatting>
  <conditionalFormatting sqref="P3:P22">
    <cfRule type="cellIs" dxfId="13" priority="404" operator="greaterThan">
      <formula>0.7</formula>
    </cfRule>
    <cfRule type="cellIs" dxfId="12" priority="403" operator="between">
      <formula>0.1</formula>
      <formula>0.7</formula>
    </cfRule>
    <cfRule type="cellIs" dxfId="11" priority="402" operator="lessThan">
      <formula>0.1</formula>
    </cfRule>
  </conditionalFormatting>
  <conditionalFormatting sqref="Q3:Q5">
    <cfRule type="containsText" dxfId="10" priority="70" operator="containsText" text="SERVIÇOS">
      <formula>NOT(ISERROR(SEARCH("SERVIÇOS",Q3)))</formula>
    </cfRule>
  </conditionalFormatting>
  <conditionalFormatting sqref="Q3:Q22">
    <cfRule type="containsText" dxfId="9" priority="2" operator="containsText" text="MAJORITARIAMENTE BENS">
      <formula>NOT(ISERROR(SEARCH("MAJORITARIAMENTE BENS",Q3)))</formula>
    </cfRule>
    <cfRule type="containsText" dxfId="8" priority="1" operator="containsText" text="APENAS BENS">
      <formula>NOT(ISERROR(SEARCH("APENAS BENS",Q3)))</formula>
    </cfRule>
  </conditionalFormatting>
  <conditionalFormatting sqref="Q6">
    <cfRule type="containsText" dxfId="7" priority="360" operator="containsText" text="BENS E SERVIÇOS">
      <formula>NOT(ISERROR(SEARCH("BENS E SERVIÇOS",Q6)))</formula>
    </cfRule>
  </conditionalFormatting>
  <conditionalFormatting sqref="Q7:Q22">
    <cfRule type="containsText" dxfId="6" priority="3" operator="containsText" text="SERVIÇOS">
      <formula>NOT(ISERROR(SEARCH("SERVIÇOS",Q7)))</formula>
    </cfRule>
  </conditionalFormatting>
  <conditionalFormatting sqref="R3:R22">
    <cfRule type="cellIs" dxfId="5" priority="399" operator="lessThan">
      <formula>0.1</formula>
    </cfRule>
    <cfRule type="cellIs" dxfId="4" priority="400" operator="between">
      <formula>0.1</formula>
      <formula>0.7</formula>
    </cfRule>
    <cfRule type="cellIs" dxfId="3" priority="401" operator="greaterThan">
      <formula>0.7</formula>
    </cfRule>
  </conditionalFormatting>
  <conditionalFormatting sqref="S3:S22">
    <cfRule type="containsText" dxfId="2" priority="16" operator="containsText" text="SERVIÇOS">
      <formula>NOT(ISERROR(SEARCH("SERVIÇOS",S3)))</formula>
    </cfRule>
    <cfRule type="containsText" dxfId="1" priority="15" operator="containsText" text="MAJORITARIAMENTE BENS">
      <formula>NOT(ISERROR(SEARCH("MAJORITARIAMENTE BENS",S3)))</formula>
    </cfRule>
    <cfRule type="containsText" dxfId="0" priority="14" operator="containsText" text="APENAS BENS">
      <formula>NOT(ISERROR(SEARCH("APENAS BENS",S3)))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id="{9EE2DDB0-EE81-403B-AA1F-3B49B0F63826}">
            <xm:f>NOT(ISERROR(SEARCH("-",N3)))</xm:f>
            <xm:f>"-"</xm:f>
            <x14:dxf/>
          </x14:cfRule>
          <xm:sqref>N3:N6 N8 N10:N21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1BB3-A5A5-4EC4-B041-F1CD7148095B}">
  <dimension ref="A1:M18"/>
  <sheetViews>
    <sheetView zoomScale="70" zoomScaleNormal="70" workbookViewId="0">
      <selection activeCell="G26" sqref="G2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9" t="s">
        <v>0</v>
      </c>
      <c r="B1" s="10" t="s">
        <v>1</v>
      </c>
      <c r="C1" s="10" t="s">
        <v>2</v>
      </c>
      <c r="D1" s="10" t="s">
        <v>3</v>
      </c>
      <c r="E1" s="27" t="s">
        <v>94</v>
      </c>
      <c r="F1" s="27" t="s">
        <v>95</v>
      </c>
      <c r="G1" s="27" t="s">
        <v>96</v>
      </c>
      <c r="H1" s="27" t="s">
        <v>97</v>
      </c>
      <c r="I1" s="28" t="s">
        <v>98</v>
      </c>
      <c r="J1" s="28" t="s">
        <v>99</v>
      </c>
      <c r="K1" s="28" t="s">
        <v>100</v>
      </c>
      <c r="L1" s="29" t="s">
        <v>101</v>
      </c>
      <c r="M1" s="46" t="s">
        <v>102</v>
      </c>
    </row>
    <row r="2" spans="1:13" x14ac:dyDescent="0.3">
      <c r="A2" s="17" t="s">
        <v>26</v>
      </c>
      <c r="B2" s="18" t="s">
        <v>27</v>
      </c>
      <c r="C2" s="18">
        <v>937698</v>
      </c>
      <c r="D2" s="18">
        <v>2022</v>
      </c>
      <c r="E2" s="12" t="s">
        <v>65</v>
      </c>
      <c r="F2" s="12" t="s">
        <v>103</v>
      </c>
      <c r="G2" s="18" t="s">
        <v>104</v>
      </c>
      <c r="H2" s="18" t="s">
        <v>105</v>
      </c>
      <c r="I2" s="30">
        <v>7.32</v>
      </c>
      <c r="J2" s="30">
        <v>41743</v>
      </c>
      <c r="K2" s="30">
        <v>33573</v>
      </c>
      <c r="L2" s="31">
        <v>8170</v>
      </c>
      <c r="M2" s="47">
        <f>IF(E2="N/A", J2, IF(OR(K2=0, ISBLANK(K2), K2=""), 0, J2-K2))</f>
        <v>8170</v>
      </c>
    </row>
    <row r="3" spans="1:13" x14ac:dyDescent="0.3">
      <c r="A3" s="5" t="s">
        <v>26</v>
      </c>
      <c r="B3" s="6" t="s">
        <v>27</v>
      </c>
      <c r="C3" s="6">
        <v>937698</v>
      </c>
      <c r="D3" s="6">
        <v>2022</v>
      </c>
      <c r="E3" s="15" t="s">
        <v>65</v>
      </c>
      <c r="F3" s="15" t="s">
        <v>103</v>
      </c>
      <c r="G3" s="6" t="s">
        <v>106</v>
      </c>
      <c r="H3" s="6" t="s">
        <v>107</v>
      </c>
      <c r="I3" s="7">
        <v>75</v>
      </c>
      <c r="J3" s="7">
        <v>23700</v>
      </c>
      <c r="K3" s="7">
        <v>7997.96</v>
      </c>
      <c r="L3" s="8">
        <v>15702.04</v>
      </c>
      <c r="M3" s="47">
        <f t="shared" ref="M3:M13" si="0">IF(E3="N/A", J3, IF(OR(K3=0, ISBLANK(K3), K3=""), 0, J3-K3))</f>
        <v>15702.04</v>
      </c>
    </row>
    <row r="4" spans="1:13" x14ac:dyDescent="0.3">
      <c r="A4" s="17" t="s">
        <v>26</v>
      </c>
      <c r="B4" s="18" t="s">
        <v>27</v>
      </c>
      <c r="C4" s="18">
        <v>937698</v>
      </c>
      <c r="D4" s="18">
        <v>2022</v>
      </c>
      <c r="E4" s="12" t="s">
        <v>65</v>
      </c>
      <c r="F4" s="12" t="s">
        <v>103</v>
      </c>
      <c r="G4" s="18" t="s">
        <v>108</v>
      </c>
      <c r="H4" s="18" t="s">
        <v>109</v>
      </c>
      <c r="I4" s="30">
        <v>4.12</v>
      </c>
      <c r="J4" s="30">
        <v>23556.6</v>
      </c>
      <c r="K4" s="30">
        <v>1428.25</v>
      </c>
      <c r="L4" s="31">
        <v>22128.35</v>
      </c>
      <c r="M4" s="47">
        <f t="shared" si="0"/>
        <v>22128.35</v>
      </c>
    </row>
    <row r="5" spans="1:13" x14ac:dyDescent="0.3">
      <c r="A5" s="5" t="s">
        <v>26</v>
      </c>
      <c r="B5" s="6" t="s">
        <v>27</v>
      </c>
      <c r="C5" s="6">
        <v>937698</v>
      </c>
      <c r="D5" s="6">
        <v>2022</v>
      </c>
      <c r="E5" s="15" t="s">
        <v>65</v>
      </c>
      <c r="F5" s="15" t="s">
        <v>110</v>
      </c>
      <c r="G5" s="6" t="s">
        <v>111</v>
      </c>
      <c r="H5" s="6" t="s">
        <v>112</v>
      </c>
      <c r="I5" s="7">
        <v>3462.23</v>
      </c>
      <c r="J5" s="7">
        <v>13848.91</v>
      </c>
      <c r="K5" s="7">
        <v>13848.91</v>
      </c>
      <c r="L5" s="8">
        <v>0</v>
      </c>
      <c r="M5" s="47">
        <f t="shared" si="0"/>
        <v>0</v>
      </c>
    </row>
    <row r="6" spans="1:13" x14ac:dyDescent="0.3">
      <c r="A6" s="17" t="s">
        <v>26</v>
      </c>
      <c r="B6" s="18" t="s">
        <v>27</v>
      </c>
      <c r="C6" s="18">
        <v>937698</v>
      </c>
      <c r="D6" s="18">
        <v>2022</v>
      </c>
      <c r="E6" s="12" t="s">
        <v>65</v>
      </c>
      <c r="F6" s="15" t="s">
        <v>110</v>
      </c>
      <c r="G6" s="18" t="s">
        <v>113</v>
      </c>
      <c r="H6" s="18" t="s">
        <v>114</v>
      </c>
      <c r="I6" s="30">
        <v>8.58</v>
      </c>
      <c r="J6" s="30">
        <v>42.88</v>
      </c>
      <c r="K6" s="30">
        <v>0</v>
      </c>
      <c r="L6" s="31">
        <v>42.88</v>
      </c>
      <c r="M6" s="47">
        <f t="shared" si="0"/>
        <v>0</v>
      </c>
    </row>
    <row r="7" spans="1:13" x14ac:dyDescent="0.3">
      <c r="A7" s="5" t="s">
        <v>26</v>
      </c>
      <c r="B7" s="6" t="s">
        <v>27</v>
      </c>
      <c r="C7" s="6">
        <v>937698</v>
      </c>
      <c r="D7" s="6">
        <v>2022</v>
      </c>
      <c r="E7" s="15" t="s">
        <v>65</v>
      </c>
      <c r="F7" s="15" t="s">
        <v>110</v>
      </c>
      <c r="G7" s="6" t="s">
        <v>115</v>
      </c>
      <c r="H7" s="6" t="s">
        <v>116</v>
      </c>
      <c r="I7" s="7">
        <v>2057.9299999999998</v>
      </c>
      <c r="J7" s="7">
        <v>2057.9299999999998</v>
      </c>
      <c r="K7" s="7">
        <v>1743</v>
      </c>
      <c r="L7" s="8">
        <v>314.93</v>
      </c>
      <c r="M7" s="47">
        <f t="shared" si="0"/>
        <v>314.92999999999984</v>
      </c>
    </row>
    <row r="8" spans="1:13" x14ac:dyDescent="0.3">
      <c r="A8" s="17" t="s">
        <v>26</v>
      </c>
      <c r="B8" s="18" t="s">
        <v>27</v>
      </c>
      <c r="C8" s="18">
        <v>937698</v>
      </c>
      <c r="D8" s="18">
        <v>2022</v>
      </c>
      <c r="E8" s="12" t="s">
        <v>65</v>
      </c>
      <c r="F8" s="15" t="s">
        <v>110</v>
      </c>
      <c r="G8" s="18" t="s">
        <v>117</v>
      </c>
      <c r="H8" s="18" t="s">
        <v>114</v>
      </c>
      <c r="I8" s="30">
        <v>170.42</v>
      </c>
      <c r="J8" s="30">
        <v>852.12</v>
      </c>
      <c r="K8" s="30">
        <v>895</v>
      </c>
      <c r="L8" s="31">
        <v>-42.88</v>
      </c>
      <c r="M8" s="47">
        <f t="shared" si="0"/>
        <v>-42.879999999999995</v>
      </c>
    </row>
    <row r="9" spans="1:13" x14ac:dyDescent="0.3">
      <c r="A9" s="5" t="s">
        <v>26</v>
      </c>
      <c r="B9" s="6" t="s">
        <v>27</v>
      </c>
      <c r="C9" s="6">
        <v>937698</v>
      </c>
      <c r="D9" s="6">
        <v>2022</v>
      </c>
      <c r="E9" s="15" t="s">
        <v>65</v>
      </c>
      <c r="F9" s="15" t="s">
        <v>110</v>
      </c>
      <c r="G9" s="6" t="s">
        <v>118</v>
      </c>
      <c r="H9" s="6" t="s">
        <v>112</v>
      </c>
      <c r="I9" s="7">
        <v>545.26</v>
      </c>
      <c r="J9" s="7">
        <v>2181.0500000000002</v>
      </c>
      <c r="K9" s="7"/>
      <c r="L9" s="8">
        <v>2181.0500000000002</v>
      </c>
      <c r="M9" s="47">
        <f t="shared" si="0"/>
        <v>0</v>
      </c>
    </row>
    <row r="10" spans="1:13" x14ac:dyDescent="0.3">
      <c r="A10" s="17" t="s">
        <v>26</v>
      </c>
      <c r="B10" s="18" t="s">
        <v>27</v>
      </c>
      <c r="C10" s="18">
        <v>937698</v>
      </c>
      <c r="D10" s="18">
        <v>2022</v>
      </c>
      <c r="E10" s="12" t="s">
        <v>65</v>
      </c>
      <c r="F10" s="15" t="s">
        <v>110</v>
      </c>
      <c r="G10" s="18" t="s">
        <v>119</v>
      </c>
      <c r="H10" s="18" t="s">
        <v>112</v>
      </c>
      <c r="I10" s="30">
        <v>1996.92</v>
      </c>
      <c r="J10" s="30">
        <v>7987.69</v>
      </c>
      <c r="K10" s="30">
        <v>7987.69</v>
      </c>
      <c r="L10" s="31">
        <v>0</v>
      </c>
      <c r="M10" s="47">
        <f t="shared" si="0"/>
        <v>0</v>
      </c>
    </row>
    <row r="11" spans="1:13" x14ac:dyDescent="0.3">
      <c r="A11" s="5" t="s">
        <v>26</v>
      </c>
      <c r="B11" s="6" t="s">
        <v>27</v>
      </c>
      <c r="C11" s="6">
        <v>937698</v>
      </c>
      <c r="D11" s="6">
        <v>2022</v>
      </c>
      <c r="E11" s="15" t="s">
        <v>67</v>
      </c>
      <c r="F11" s="15" t="s">
        <v>110</v>
      </c>
      <c r="G11" s="6" t="s">
        <v>120</v>
      </c>
      <c r="H11" s="6" t="s">
        <v>116</v>
      </c>
      <c r="I11" s="7">
        <v>164850</v>
      </c>
      <c r="J11" s="7">
        <v>164850</v>
      </c>
      <c r="K11" s="7">
        <v>164850</v>
      </c>
      <c r="L11" s="8">
        <v>0</v>
      </c>
      <c r="M11" s="47">
        <f t="shared" si="0"/>
        <v>0</v>
      </c>
    </row>
    <row r="12" spans="1:13" x14ac:dyDescent="0.3">
      <c r="A12" s="17" t="s">
        <v>26</v>
      </c>
      <c r="B12" s="18" t="s">
        <v>27</v>
      </c>
      <c r="C12" s="18">
        <v>937698</v>
      </c>
      <c r="D12" s="18">
        <v>2022</v>
      </c>
      <c r="E12" s="12" t="s">
        <v>66</v>
      </c>
      <c r="F12" s="15" t="s">
        <v>110</v>
      </c>
      <c r="G12" s="41" t="s">
        <v>121</v>
      </c>
      <c r="H12" s="18" t="s">
        <v>116</v>
      </c>
      <c r="I12" s="30">
        <v>108156</v>
      </c>
      <c r="J12" s="30">
        <v>108156</v>
      </c>
      <c r="K12" s="30">
        <v>101966.66</v>
      </c>
      <c r="L12" s="31">
        <v>6189.31</v>
      </c>
      <c r="M12" s="47">
        <f t="shared" si="0"/>
        <v>6189.3399999999965</v>
      </c>
    </row>
    <row r="13" spans="1:13" x14ac:dyDescent="0.3">
      <c r="A13" s="5" t="s">
        <v>26</v>
      </c>
      <c r="B13" s="6" t="s">
        <v>27</v>
      </c>
      <c r="C13" s="6">
        <v>937698</v>
      </c>
      <c r="D13" s="6">
        <v>2022</v>
      </c>
      <c r="E13" s="15" t="s">
        <v>65</v>
      </c>
      <c r="F13" s="15" t="s">
        <v>110</v>
      </c>
      <c r="G13" s="6" t="s">
        <v>122</v>
      </c>
      <c r="H13" s="6" t="s">
        <v>114</v>
      </c>
      <c r="I13" s="7">
        <v>706.71</v>
      </c>
      <c r="J13" s="7">
        <v>3533.56</v>
      </c>
      <c r="K13" s="7">
        <v>3163.4</v>
      </c>
      <c r="L13" s="8">
        <v>370.16</v>
      </c>
      <c r="M13" s="47">
        <f t="shared" si="0"/>
        <v>370.15999999999985</v>
      </c>
    </row>
    <row r="14" spans="1:13" x14ac:dyDescent="0.3">
      <c r="A14" s="17"/>
      <c r="B14" s="18"/>
      <c r="C14" s="18"/>
      <c r="D14" s="18"/>
      <c r="E14" s="18"/>
      <c r="F14" s="18"/>
      <c r="G14" s="18"/>
      <c r="H14" s="18"/>
      <c r="I14" s="30"/>
      <c r="J14" s="30"/>
      <c r="K14" s="30"/>
      <c r="L14" s="31"/>
    </row>
    <row r="15" spans="1:13" x14ac:dyDescent="0.3">
      <c r="A15" s="5"/>
      <c r="B15" s="6"/>
      <c r="C15" s="6"/>
      <c r="D15" s="6"/>
      <c r="E15" s="6"/>
      <c r="F15" s="6"/>
      <c r="G15" s="6"/>
      <c r="H15" s="6"/>
      <c r="I15" s="7"/>
      <c r="J15" s="7"/>
      <c r="K15" s="7"/>
      <c r="L15" s="8"/>
    </row>
    <row r="16" spans="1:13" x14ac:dyDescent="0.3">
      <c r="A16" s="17"/>
      <c r="B16" s="18"/>
      <c r="C16" s="18"/>
      <c r="D16" s="18"/>
      <c r="E16" s="18"/>
      <c r="F16" s="18"/>
      <c r="G16" s="18"/>
      <c r="H16" s="18"/>
      <c r="I16" s="30"/>
      <c r="J16" s="30"/>
      <c r="K16" s="30"/>
      <c r="L16" s="31"/>
    </row>
    <row r="17" spans="1:12" x14ac:dyDescent="0.3">
      <c r="A17" s="5"/>
      <c r="B17" s="6"/>
      <c r="C17" s="6"/>
      <c r="D17" s="6"/>
      <c r="E17" s="6"/>
      <c r="F17" s="6"/>
      <c r="G17" s="6"/>
      <c r="H17" s="6"/>
      <c r="I17" s="7"/>
      <c r="J17" s="7"/>
      <c r="K17" s="7"/>
      <c r="L17" s="8"/>
    </row>
    <row r="18" spans="1:12" x14ac:dyDescent="0.3">
      <c r="A18" s="17"/>
      <c r="B18" s="18"/>
      <c r="C18" s="18"/>
      <c r="D18" s="18"/>
      <c r="E18" s="18"/>
      <c r="F18" s="18"/>
      <c r="G18" s="18"/>
      <c r="H18" s="18"/>
      <c r="I18" s="30"/>
      <c r="J18" s="30"/>
      <c r="K18" s="30"/>
      <c r="L18" s="31"/>
    </row>
  </sheetData>
  <autoFilter ref="A1:M13" xr:uid="{D8161BB3-A5A5-4EC4-B041-F1CD7148095B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658D-C2FE-4C5D-AEE3-FE8745786B1A}">
  <dimension ref="A1:S58"/>
  <sheetViews>
    <sheetView zoomScale="70" zoomScaleNormal="70" workbookViewId="0">
      <selection activeCell="O22" sqref="O22"/>
    </sheetView>
  </sheetViews>
  <sheetFormatPr defaultRowHeight="15.6" x14ac:dyDescent="0.3"/>
  <cols>
    <col min="1" max="1" width="5" style="1" customWidth="1"/>
    <col min="2" max="2" width="15.3984375" style="1" customWidth="1"/>
    <col min="3" max="3" width="10.5" style="1" customWidth="1"/>
    <col min="4" max="4" width="9" style="1"/>
    <col min="5" max="5" width="14.8984375" style="1" bestFit="1" customWidth="1"/>
    <col min="6" max="6" width="14.8984375" style="1" customWidth="1"/>
    <col min="7" max="7" width="41.19921875" style="1" bestFit="1" customWidth="1"/>
    <col min="8" max="8" width="14.09765625" style="1" customWidth="1"/>
    <col min="9" max="9" width="18.19921875" style="1" customWidth="1"/>
    <col min="10" max="10" width="24.09765625" style="1" customWidth="1"/>
    <col min="11" max="11" width="26.09765625" style="20" customWidth="1"/>
    <col min="12" max="12" width="13.3984375" style="1" bestFit="1" customWidth="1"/>
    <col min="13" max="13" width="23.19921875" customWidth="1"/>
    <col min="14" max="14" width="17.59765625" customWidth="1"/>
    <col min="15" max="15" width="10.8984375" bestFit="1" customWidth="1"/>
    <col min="16" max="16" width="17.3984375" customWidth="1"/>
    <col min="17" max="17" width="10.69921875" customWidth="1"/>
    <col min="18" max="18" width="17.3984375" bestFit="1" customWidth="1"/>
    <col min="19" max="19" width="10.69921875" customWidth="1"/>
  </cols>
  <sheetData>
    <row r="1" spans="1:19" ht="46.8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94</v>
      </c>
      <c r="F1" s="10" t="s">
        <v>95</v>
      </c>
      <c r="G1" s="10" t="s">
        <v>96</v>
      </c>
      <c r="H1" s="10" t="s">
        <v>97</v>
      </c>
      <c r="I1" s="10" t="s">
        <v>98</v>
      </c>
      <c r="J1" s="10" t="s">
        <v>99</v>
      </c>
      <c r="K1" s="48" t="s">
        <v>100</v>
      </c>
      <c r="L1" s="10" t="s">
        <v>101</v>
      </c>
      <c r="M1" s="56" t="s">
        <v>102</v>
      </c>
      <c r="N1" s="56" t="s">
        <v>123</v>
      </c>
      <c r="O1" s="56" t="s">
        <v>124</v>
      </c>
      <c r="P1" s="56" t="s">
        <v>123</v>
      </c>
      <c r="Q1" s="56" t="s">
        <v>124</v>
      </c>
      <c r="R1" s="56" t="s">
        <v>123</v>
      </c>
      <c r="S1" s="56" t="s">
        <v>124</v>
      </c>
    </row>
    <row r="2" spans="1:19" x14ac:dyDescent="0.3">
      <c r="A2" s="11" t="s">
        <v>30</v>
      </c>
      <c r="B2" s="12" t="s">
        <v>27</v>
      </c>
      <c r="C2" s="12">
        <v>937216</v>
      </c>
      <c r="D2" s="12">
        <v>2022</v>
      </c>
      <c r="E2" s="12" t="s">
        <v>67</v>
      </c>
      <c r="F2" s="12" t="s">
        <v>103</v>
      </c>
      <c r="G2" s="12" t="s">
        <v>125</v>
      </c>
      <c r="H2" s="12" t="s">
        <v>126</v>
      </c>
      <c r="I2" s="12">
        <v>40.58</v>
      </c>
      <c r="J2" s="12">
        <v>405.8</v>
      </c>
      <c r="K2" s="51">
        <v>405.8</v>
      </c>
      <c r="L2" s="12"/>
      <c r="M2" s="57">
        <f>IF(E2="N/A", J2, IF(OR(K2=0, ISBLANK(K2), K2=""), 0, J2-K2))</f>
        <v>0</v>
      </c>
    </row>
    <row r="3" spans="1:19" x14ac:dyDescent="0.3">
      <c r="A3" s="14" t="s">
        <v>30</v>
      </c>
      <c r="B3" s="15" t="s">
        <v>27</v>
      </c>
      <c r="C3" s="15">
        <v>937216</v>
      </c>
      <c r="D3" s="15">
        <v>2022</v>
      </c>
      <c r="E3" s="15" t="s">
        <v>67</v>
      </c>
      <c r="F3" s="12" t="s">
        <v>103</v>
      </c>
      <c r="G3" s="15" t="s">
        <v>127</v>
      </c>
      <c r="H3" s="15" t="s">
        <v>126</v>
      </c>
      <c r="I3" s="15">
        <v>340</v>
      </c>
      <c r="J3" s="15">
        <v>3400</v>
      </c>
      <c r="K3" s="53">
        <v>3400</v>
      </c>
      <c r="L3" s="15"/>
      <c r="M3" s="58">
        <f t="shared" ref="M3:M51" si="0">IF(E3="N/A", J3, IF(OR(K3=0, ISBLANK(K3), K3=""), 0, J3-K3))</f>
        <v>0</v>
      </c>
    </row>
    <row r="4" spans="1:19" x14ac:dyDescent="0.3">
      <c r="A4" s="11" t="s">
        <v>30</v>
      </c>
      <c r="B4" s="12" t="s">
        <v>27</v>
      </c>
      <c r="C4" s="12">
        <v>937216</v>
      </c>
      <c r="D4" s="12">
        <v>2022</v>
      </c>
      <c r="E4" s="12" t="s">
        <v>67</v>
      </c>
      <c r="F4" s="12" t="s">
        <v>103</v>
      </c>
      <c r="G4" s="12" t="s">
        <v>128</v>
      </c>
      <c r="H4" s="12" t="s">
        <v>112</v>
      </c>
      <c r="I4" s="12">
        <v>29</v>
      </c>
      <c r="J4" s="12">
        <v>116</v>
      </c>
      <c r="K4" s="51">
        <v>116</v>
      </c>
      <c r="L4" s="12"/>
      <c r="M4" s="57">
        <f t="shared" si="0"/>
        <v>0</v>
      </c>
    </row>
    <row r="5" spans="1:19" x14ac:dyDescent="0.3">
      <c r="A5" s="14" t="s">
        <v>30</v>
      </c>
      <c r="B5" s="15" t="s">
        <v>27</v>
      </c>
      <c r="C5" s="15">
        <v>937216</v>
      </c>
      <c r="D5" s="15">
        <v>2022</v>
      </c>
      <c r="E5" s="15" t="s">
        <v>67</v>
      </c>
      <c r="F5" s="12" t="s">
        <v>103</v>
      </c>
      <c r="G5" s="15" t="s">
        <v>129</v>
      </c>
      <c r="H5" s="15" t="s">
        <v>112</v>
      </c>
      <c r="I5" s="15">
        <v>16.600000000000001</v>
      </c>
      <c r="J5" s="15">
        <v>66.400000000000006</v>
      </c>
      <c r="K5" s="53">
        <v>66.400000000000006</v>
      </c>
      <c r="L5" s="15"/>
      <c r="M5" s="58">
        <f t="shared" si="0"/>
        <v>0</v>
      </c>
    </row>
    <row r="6" spans="1:19" x14ac:dyDescent="0.3">
      <c r="A6" s="11" t="s">
        <v>30</v>
      </c>
      <c r="B6" s="12" t="s">
        <v>27</v>
      </c>
      <c r="C6" s="12">
        <v>937216</v>
      </c>
      <c r="D6" s="12">
        <v>2022</v>
      </c>
      <c r="E6" s="12" t="s">
        <v>67</v>
      </c>
      <c r="F6" s="12" t="s">
        <v>103</v>
      </c>
      <c r="G6" s="12" t="s">
        <v>130</v>
      </c>
      <c r="H6" s="12" t="s">
        <v>131</v>
      </c>
      <c r="I6" s="12">
        <v>5.72</v>
      </c>
      <c r="J6" s="12">
        <v>57200</v>
      </c>
      <c r="K6" s="51">
        <v>57200</v>
      </c>
      <c r="L6" s="12"/>
      <c r="M6" s="57">
        <f t="shared" si="0"/>
        <v>0</v>
      </c>
    </row>
    <row r="7" spans="1:19" x14ac:dyDescent="0.3">
      <c r="A7" s="14" t="s">
        <v>30</v>
      </c>
      <c r="B7" s="15" t="s">
        <v>27</v>
      </c>
      <c r="C7" s="15">
        <v>937216</v>
      </c>
      <c r="D7" s="15">
        <v>2022</v>
      </c>
      <c r="E7" s="15" t="s">
        <v>67</v>
      </c>
      <c r="F7" s="12" t="s">
        <v>103</v>
      </c>
      <c r="G7" s="15" t="s">
        <v>132</v>
      </c>
      <c r="H7" s="15" t="s">
        <v>133</v>
      </c>
      <c r="I7" s="15">
        <v>121.76</v>
      </c>
      <c r="J7" s="15">
        <v>243.52</v>
      </c>
      <c r="K7" s="53">
        <v>243.52</v>
      </c>
      <c r="L7" s="15"/>
      <c r="M7" s="58">
        <f t="shared" si="0"/>
        <v>0</v>
      </c>
    </row>
    <row r="8" spans="1:19" x14ac:dyDescent="0.3">
      <c r="A8" s="11" t="s">
        <v>30</v>
      </c>
      <c r="B8" s="12" t="s">
        <v>27</v>
      </c>
      <c r="C8" s="12">
        <v>937216</v>
      </c>
      <c r="D8" s="12">
        <v>2022</v>
      </c>
      <c r="E8" s="12" t="s">
        <v>134</v>
      </c>
      <c r="F8" s="12" t="s">
        <v>110</v>
      </c>
      <c r="G8" s="12" t="s">
        <v>135</v>
      </c>
      <c r="H8" s="12" t="s">
        <v>116</v>
      </c>
      <c r="I8" s="12">
        <v>34033.339999999997</v>
      </c>
      <c r="J8" s="12">
        <v>34033.339999999997</v>
      </c>
      <c r="K8" s="51">
        <v>0</v>
      </c>
      <c r="L8" s="12">
        <v>34033.339999999997</v>
      </c>
      <c r="M8" s="57">
        <f t="shared" si="0"/>
        <v>34033.339999999997</v>
      </c>
    </row>
    <row r="9" spans="1:19" x14ac:dyDescent="0.3">
      <c r="A9" s="14" t="s">
        <v>30</v>
      </c>
      <c r="B9" s="15" t="s">
        <v>27</v>
      </c>
      <c r="C9" s="15">
        <v>937216</v>
      </c>
      <c r="D9" s="15">
        <v>2022</v>
      </c>
      <c r="E9" s="15" t="s">
        <v>67</v>
      </c>
      <c r="F9" s="12" t="s">
        <v>110</v>
      </c>
      <c r="G9" s="15" t="s">
        <v>136</v>
      </c>
      <c r="H9" s="15" t="s">
        <v>137</v>
      </c>
      <c r="I9" s="15">
        <v>162.88</v>
      </c>
      <c r="J9" s="15">
        <v>488.64</v>
      </c>
      <c r="K9" s="53">
        <v>359.94</v>
      </c>
      <c r="L9" s="15">
        <v>128.69999999999999</v>
      </c>
      <c r="M9" s="58">
        <f t="shared" si="0"/>
        <v>128.69999999999999</v>
      </c>
    </row>
    <row r="10" spans="1:19" x14ac:dyDescent="0.3">
      <c r="A10" s="11" t="s">
        <v>30</v>
      </c>
      <c r="B10" s="12" t="s">
        <v>27</v>
      </c>
      <c r="C10" s="12">
        <v>937216</v>
      </c>
      <c r="D10" s="12">
        <v>2022</v>
      </c>
      <c r="E10" s="12" t="s">
        <v>67</v>
      </c>
      <c r="F10" s="12" t="s">
        <v>110</v>
      </c>
      <c r="G10" s="12" t="s">
        <v>138</v>
      </c>
      <c r="H10" s="12" t="s">
        <v>116</v>
      </c>
      <c r="I10" s="12">
        <v>5343.33</v>
      </c>
      <c r="J10" s="12">
        <v>5343.33</v>
      </c>
      <c r="K10" s="51">
        <v>4679.99</v>
      </c>
      <c r="L10" s="12">
        <v>663.34</v>
      </c>
      <c r="M10" s="57">
        <f t="shared" si="0"/>
        <v>663.34000000000015</v>
      </c>
    </row>
    <row r="11" spans="1:19" x14ac:dyDescent="0.3">
      <c r="A11" s="14" t="s">
        <v>30</v>
      </c>
      <c r="B11" s="15" t="s">
        <v>27</v>
      </c>
      <c r="C11" s="15">
        <v>937216</v>
      </c>
      <c r="D11" s="15">
        <v>2022</v>
      </c>
      <c r="E11" s="15" t="s">
        <v>67</v>
      </c>
      <c r="F11" s="12" t="s">
        <v>110</v>
      </c>
      <c r="G11" s="15" t="s">
        <v>139</v>
      </c>
      <c r="H11" s="15" t="s">
        <v>116</v>
      </c>
      <c r="I11" s="15">
        <v>12064</v>
      </c>
      <c r="J11" s="15">
        <v>12064</v>
      </c>
      <c r="K11" s="53">
        <v>6249.99</v>
      </c>
      <c r="L11" s="15">
        <v>5814.01</v>
      </c>
      <c r="M11" s="58">
        <f t="shared" si="0"/>
        <v>5814.01</v>
      </c>
    </row>
    <row r="12" spans="1:19" x14ac:dyDescent="0.3">
      <c r="A12" s="11" t="s">
        <v>30</v>
      </c>
      <c r="B12" s="12" t="s">
        <v>27</v>
      </c>
      <c r="C12" s="12">
        <v>937216</v>
      </c>
      <c r="D12" s="12">
        <v>2022</v>
      </c>
      <c r="E12" s="12" t="s">
        <v>67</v>
      </c>
      <c r="F12" s="12" t="s">
        <v>110</v>
      </c>
      <c r="G12" s="12" t="s">
        <v>140</v>
      </c>
      <c r="H12" s="12" t="s">
        <v>133</v>
      </c>
      <c r="I12" s="12">
        <v>8390</v>
      </c>
      <c r="J12" s="12">
        <v>16780</v>
      </c>
      <c r="K12" s="51">
        <v>16600</v>
      </c>
      <c r="L12" s="12">
        <v>180</v>
      </c>
      <c r="M12" s="57">
        <f t="shared" si="0"/>
        <v>180</v>
      </c>
    </row>
    <row r="13" spans="1:19" x14ac:dyDescent="0.3">
      <c r="A13" s="14" t="s">
        <v>30</v>
      </c>
      <c r="B13" s="15" t="s">
        <v>27</v>
      </c>
      <c r="C13" s="15">
        <v>937216</v>
      </c>
      <c r="D13" s="15">
        <v>2022</v>
      </c>
      <c r="E13" s="15" t="s">
        <v>67</v>
      </c>
      <c r="F13" s="12" t="s">
        <v>110</v>
      </c>
      <c r="G13" s="15" t="s">
        <v>141</v>
      </c>
      <c r="H13" s="15" t="s">
        <v>116</v>
      </c>
      <c r="I13" s="15">
        <v>2006.67</v>
      </c>
      <c r="J13" s="15">
        <v>2006.67</v>
      </c>
      <c r="K13" s="53">
        <v>1979.99</v>
      </c>
      <c r="L13" s="15">
        <v>26.68</v>
      </c>
      <c r="M13" s="58">
        <f t="shared" si="0"/>
        <v>26.680000000000064</v>
      </c>
    </row>
    <row r="14" spans="1:19" x14ac:dyDescent="0.3">
      <c r="A14" s="11" t="s">
        <v>30</v>
      </c>
      <c r="B14" s="12" t="s">
        <v>27</v>
      </c>
      <c r="C14" s="12">
        <v>937216</v>
      </c>
      <c r="D14" s="12">
        <v>2022</v>
      </c>
      <c r="E14" s="12" t="s">
        <v>67</v>
      </c>
      <c r="F14" s="12" t="s">
        <v>110</v>
      </c>
      <c r="G14" s="12" t="s">
        <v>142</v>
      </c>
      <c r="H14" s="12" t="s">
        <v>133</v>
      </c>
      <c r="I14" s="12">
        <v>1357.82</v>
      </c>
      <c r="J14" s="12">
        <v>2715.64</v>
      </c>
      <c r="K14" s="51">
        <v>2715.62</v>
      </c>
      <c r="L14" s="12">
        <v>0.02</v>
      </c>
      <c r="M14" s="57">
        <f t="shared" si="0"/>
        <v>1.999999999998181E-2</v>
      </c>
    </row>
    <row r="15" spans="1:19" x14ac:dyDescent="0.3">
      <c r="A15" s="14" t="s">
        <v>30</v>
      </c>
      <c r="B15" s="15" t="s">
        <v>27</v>
      </c>
      <c r="C15" s="15">
        <v>937216</v>
      </c>
      <c r="D15" s="15">
        <v>2022</v>
      </c>
      <c r="E15" s="15" t="s">
        <v>67</v>
      </c>
      <c r="F15" s="12" t="s">
        <v>110</v>
      </c>
      <c r="G15" s="15" t="s">
        <v>143</v>
      </c>
      <c r="H15" s="15" t="s">
        <v>114</v>
      </c>
      <c r="I15" s="15">
        <v>425</v>
      </c>
      <c r="J15" s="15">
        <v>2125</v>
      </c>
      <c r="K15" s="53">
        <v>1900</v>
      </c>
      <c r="L15" s="15">
        <v>225</v>
      </c>
      <c r="M15" s="58">
        <f t="shared" si="0"/>
        <v>225</v>
      </c>
    </row>
    <row r="16" spans="1:19" x14ac:dyDescent="0.3">
      <c r="A16" s="11" t="s">
        <v>30</v>
      </c>
      <c r="B16" s="12" t="s">
        <v>27</v>
      </c>
      <c r="C16" s="12">
        <v>937216</v>
      </c>
      <c r="D16" s="12">
        <v>2022</v>
      </c>
      <c r="E16" s="12" t="s">
        <v>66</v>
      </c>
      <c r="F16" s="12" t="s">
        <v>110</v>
      </c>
      <c r="G16" s="12" t="s">
        <v>144</v>
      </c>
      <c r="H16" s="12" t="s">
        <v>116</v>
      </c>
      <c r="I16" s="12">
        <v>956.28</v>
      </c>
      <c r="J16" s="12">
        <v>956.28</v>
      </c>
      <c r="K16" s="51">
        <v>937.99</v>
      </c>
      <c r="L16" s="12">
        <v>18.29</v>
      </c>
      <c r="M16" s="57">
        <f t="shared" si="0"/>
        <v>18.289999999999964</v>
      </c>
    </row>
    <row r="17" spans="1:13" x14ac:dyDescent="0.3">
      <c r="A17" s="14" t="s">
        <v>30</v>
      </c>
      <c r="B17" s="15" t="s">
        <v>27</v>
      </c>
      <c r="C17" s="15">
        <v>937216</v>
      </c>
      <c r="D17" s="15">
        <v>2022</v>
      </c>
      <c r="E17" s="15" t="s">
        <v>67</v>
      </c>
      <c r="F17" s="12" t="s">
        <v>110</v>
      </c>
      <c r="G17" s="15" t="s">
        <v>145</v>
      </c>
      <c r="H17" s="15" t="s">
        <v>116</v>
      </c>
      <c r="I17" s="15">
        <v>1155.22</v>
      </c>
      <c r="J17" s="15">
        <v>1155.22</v>
      </c>
      <c r="K17" s="53">
        <v>1155.21</v>
      </c>
      <c r="L17" s="15">
        <v>0.01</v>
      </c>
      <c r="M17" s="58">
        <f t="shared" si="0"/>
        <v>9.9999999999909051E-3</v>
      </c>
    </row>
    <row r="18" spans="1:13" x14ac:dyDescent="0.3">
      <c r="A18" s="11" t="s">
        <v>30</v>
      </c>
      <c r="B18" s="12" t="s">
        <v>27</v>
      </c>
      <c r="C18" s="12">
        <v>937216</v>
      </c>
      <c r="D18" s="12">
        <v>2022</v>
      </c>
      <c r="E18" s="12" t="s">
        <v>67</v>
      </c>
      <c r="F18" s="12" t="s">
        <v>110</v>
      </c>
      <c r="G18" s="12" t="s">
        <v>146</v>
      </c>
      <c r="H18" s="12" t="s">
        <v>116</v>
      </c>
      <c r="I18" s="12">
        <v>657.5</v>
      </c>
      <c r="J18" s="12">
        <v>657.5</v>
      </c>
      <c r="K18" s="51">
        <v>629.99</v>
      </c>
      <c r="L18" s="12">
        <v>27.51</v>
      </c>
      <c r="M18" s="57">
        <f t="shared" si="0"/>
        <v>27.509999999999991</v>
      </c>
    </row>
    <row r="19" spans="1:13" x14ac:dyDescent="0.3">
      <c r="A19" s="14" t="s">
        <v>30</v>
      </c>
      <c r="B19" s="15" t="s">
        <v>27</v>
      </c>
      <c r="C19" s="15">
        <v>937216</v>
      </c>
      <c r="D19" s="15">
        <v>2022</v>
      </c>
      <c r="E19" s="15" t="s">
        <v>67</v>
      </c>
      <c r="F19" s="12" t="s">
        <v>110</v>
      </c>
      <c r="G19" s="15" t="s">
        <v>147</v>
      </c>
      <c r="H19" s="15" t="s">
        <v>116</v>
      </c>
      <c r="I19" s="15">
        <v>1189.9100000000001</v>
      </c>
      <c r="J19" s="15">
        <v>1189.9100000000001</v>
      </c>
      <c r="K19" s="53">
        <v>1169.99</v>
      </c>
      <c r="L19" s="15">
        <v>19.920000000000002</v>
      </c>
      <c r="M19" s="58">
        <f t="shared" si="0"/>
        <v>19.920000000000073</v>
      </c>
    </row>
    <row r="20" spans="1:13" x14ac:dyDescent="0.3">
      <c r="A20" s="11" t="s">
        <v>30</v>
      </c>
      <c r="B20" s="12" t="s">
        <v>27</v>
      </c>
      <c r="C20" s="12">
        <v>937216</v>
      </c>
      <c r="D20" s="12">
        <v>2022</v>
      </c>
      <c r="E20" s="12" t="s">
        <v>67</v>
      </c>
      <c r="F20" s="12" t="s">
        <v>110</v>
      </c>
      <c r="G20" s="12" t="s">
        <v>148</v>
      </c>
      <c r="H20" s="12" t="s">
        <v>116</v>
      </c>
      <c r="I20" s="12">
        <v>16640</v>
      </c>
      <c r="J20" s="12">
        <v>16640</v>
      </c>
      <c r="K20" s="51">
        <v>16640</v>
      </c>
      <c r="L20" s="12"/>
      <c r="M20" s="57">
        <f t="shared" si="0"/>
        <v>0</v>
      </c>
    </row>
    <row r="21" spans="1:13" x14ac:dyDescent="0.3">
      <c r="A21" s="14" t="s">
        <v>30</v>
      </c>
      <c r="B21" s="15" t="s">
        <v>27</v>
      </c>
      <c r="C21" s="15">
        <v>937216</v>
      </c>
      <c r="D21" s="15">
        <v>2022</v>
      </c>
      <c r="E21" s="15" t="s">
        <v>67</v>
      </c>
      <c r="F21" s="12" t="s">
        <v>110</v>
      </c>
      <c r="G21" s="15" t="s">
        <v>149</v>
      </c>
      <c r="H21" s="15" t="s">
        <v>116</v>
      </c>
      <c r="I21" s="15">
        <v>699.59</v>
      </c>
      <c r="J21" s="15">
        <v>699.59</v>
      </c>
      <c r="K21" s="53">
        <v>690</v>
      </c>
      <c r="L21" s="15">
        <v>9.59</v>
      </c>
      <c r="M21" s="58">
        <f t="shared" si="0"/>
        <v>9.5900000000000318</v>
      </c>
    </row>
    <row r="22" spans="1:13" x14ac:dyDescent="0.3">
      <c r="A22" s="11" t="s">
        <v>30</v>
      </c>
      <c r="B22" s="12" t="s">
        <v>27</v>
      </c>
      <c r="C22" s="12">
        <v>937216</v>
      </c>
      <c r="D22" s="12">
        <v>2022</v>
      </c>
      <c r="E22" s="12" t="s">
        <v>67</v>
      </c>
      <c r="F22" s="12" t="s">
        <v>110</v>
      </c>
      <c r="G22" s="12" t="s">
        <v>150</v>
      </c>
      <c r="H22" s="12" t="s">
        <v>133</v>
      </c>
      <c r="I22" s="12">
        <v>242</v>
      </c>
      <c r="J22" s="12">
        <v>484</v>
      </c>
      <c r="K22" s="51">
        <v>419.98</v>
      </c>
      <c r="L22" s="12">
        <v>64.02</v>
      </c>
      <c r="M22" s="57">
        <f t="shared" si="0"/>
        <v>64.019999999999982</v>
      </c>
    </row>
    <row r="23" spans="1:13" x14ac:dyDescent="0.3">
      <c r="A23" s="14" t="s">
        <v>30</v>
      </c>
      <c r="B23" s="15" t="s">
        <v>27</v>
      </c>
      <c r="C23" s="15">
        <v>937216</v>
      </c>
      <c r="D23" s="15">
        <v>2022</v>
      </c>
      <c r="E23" s="15" t="s">
        <v>67</v>
      </c>
      <c r="F23" s="12" t="s">
        <v>110</v>
      </c>
      <c r="G23" s="15" t="s">
        <v>151</v>
      </c>
      <c r="H23" s="15" t="s">
        <v>112</v>
      </c>
      <c r="I23" s="15">
        <v>1805.33</v>
      </c>
      <c r="J23" s="15">
        <v>7221.32</v>
      </c>
      <c r="K23" s="53">
        <v>3270.64</v>
      </c>
      <c r="L23" s="15">
        <v>7221.32</v>
      </c>
      <c r="M23" s="58">
        <f t="shared" si="0"/>
        <v>3950.68</v>
      </c>
    </row>
    <row r="24" spans="1:13" x14ac:dyDescent="0.3">
      <c r="A24" s="11" t="s">
        <v>30</v>
      </c>
      <c r="B24" s="12" t="s">
        <v>27</v>
      </c>
      <c r="C24" s="12">
        <v>937216</v>
      </c>
      <c r="D24" s="12">
        <v>2022</v>
      </c>
      <c r="E24" s="12" t="s">
        <v>67</v>
      </c>
      <c r="F24" s="12" t="s">
        <v>110</v>
      </c>
      <c r="G24" s="12" t="s">
        <v>152</v>
      </c>
      <c r="H24" s="12" t="s">
        <v>116</v>
      </c>
      <c r="I24" s="12">
        <v>890.65</v>
      </c>
      <c r="J24" s="12">
        <v>890.65</v>
      </c>
      <c r="K24" s="51">
        <v>849.99</v>
      </c>
      <c r="L24" s="12">
        <v>40.659999999999997</v>
      </c>
      <c r="M24" s="57">
        <f t="shared" si="0"/>
        <v>40.659999999999968</v>
      </c>
    </row>
    <row r="25" spans="1:13" x14ac:dyDescent="0.3">
      <c r="A25" s="14" t="s">
        <v>30</v>
      </c>
      <c r="B25" s="15" t="s">
        <v>27</v>
      </c>
      <c r="C25" s="15">
        <v>937216</v>
      </c>
      <c r="D25" s="15">
        <v>2022</v>
      </c>
      <c r="E25" s="15" t="s">
        <v>66</v>
      </c>
      <c r="F25" s="12" t="s">
        <v>110</v>
      </c>
      <c r="G25" s="15" t="s">
        <v>153</v>
      </c>
      <c r="H25" s="15" t="s">
        <v>133</v>
      </c>
      <c r="I25" s="15">
        <v>4509.6400000000003</v>
      </c>
      <c r="J25" s="15">
        <v>9019.2800000000007</v>
      </c>
      <c r="K25" s="53">
        <v>7360</v>
      </c>
      <c r="L25" s="15">
        <v>1659.28</v>
      </c>
      <c r="M25" s="58">
        <f t="shared" si="0"/>
        <v>1659.2800000000007</v>
      </c>
    </row>
    <row r="26" spans="1:13" x14ac:dyDescent="0.3">
      <c r="A26" s="11" t="s">
        <v>30</v>
      </c>
      <c r="B26" s="12" t="s">
        <v>27</v>
      </c>
      <c r="C26" s="12">
        <v>937216</v>
      </c>
      <c r="D26" s="12">
        <v>2022</v>
      </c>
      <c r="E26" s="12" t="s">
        <v>67</v>
      </c>
      <c r="F26" s="12" t="s">
        <v>110</v>
      </c>
      <c r="G26" s="12" t="s">
        <v>154</v>
      </c>
      <c r="H26" s="12" t="s">
        <v>116</v>
      </c>
      <c r="I26" s="12">
        <v>1571.77</v>
      </c>
      <c r="J26" s="12">
        <v>1571.77</v>
      </c>
      <c r="K26" s="51">
        <v>1289.99</v>
      </c>
      <c r="L26" s="12">
        <v>281.77999999999997</v>
      </c>
      <c r="M26" s="57">
        <f t="shared" si="0"/>
        <v>281.77999999999997</v>
      </c>
    </row>
    <row r="27" spans="1:13" x14ac:dyDescent="0.3">
      <c r="A27" s="14" t="s">
        <v>30</v>
      </c>
      <c r="B27" s="15" t="s">
        <v>27</v>
      </c>
      <c r="C27" s="15">
        <v>937216</v>
      </c>
      <c r="D27" s="15">
        <v>2022</v>
      </c>
      <c r="E27" s="15" t="s">
        <v>67</v>
      </c>
      <c r="F27" s="12" t="s">
        <v>110</v>
      </c>
      <c r="G27" s="15" t="s">
        <v>155</v>
      </c>
      <c r="H27" s="15" t="s">
        <v>116</v>
      </c>
      <c r="I27" s="15">
        <v>3800</v>
      </c>
      <c r="J27" s="15">
        <v>3800</v>
      </c>
      <c r="K27" s="53">
        <v>3200</v>
      </c>
      <c r="L27" s="15">
        <v>600</v>
      </c>
      <c r="M27" s="58">
        <f t="shared" si="0"/>
        <v>600</v>
      </c>
    </row>
    <row r="28" spans="1:13" x14ac:dyDescent="0.3">
      <c r="A28" s="11" t="s">
        <v>30</v>
      </c>
      <c r="B28" s="12" t="s">
        <v>27</v>
      </c>
      <c r="C28" s="12">
        <v>937216</v>
      </c>
      <c r="D28" s="12">
        <v>2022</v>
      </c>
      <c r="E28" s="12" t="s">
        <v>66</v>
      </c>
      <c r="F28" s="12" t="s">
        <v>110</v>
      </c>
      <c r="G28" s="12" t="s">
        <v>156</v>
      </c>
      <c r="H28" s="12" t="s">
        <v>116</v>
      </c>
      <c r="I28" s="12">
        <v>1775.9</v>
      </c>
      <c r="J28" s="12">
        <v>1775.9</v>
      </c>
      <c r="K28" s="51">
        <v>1533.2</v>
      </c>
      <c r="L28" s="12">
        <v>242.7</v>
      </c>
      <c r="M28" s="57">
        <f t="shared" si="0"/>
        <v>242.70000000000005</v>
      </c>
    </row>
    <row r="29" spans="1:13" x14ac:dyDescent="0.3">
      <c r="A29" s="14" t="s">
        <v>30</v>
      </c>
      <c r="B29" s="15" t="s">
        <v>27</v>
      </c>
      <c r="C29" s="15">
        <v>937216</v>
      </c>
      <c r="D29" s="15">
        <v>2022</v>
      </c>
      <c r="E29" s="15" t="s">
        <v>67</v>
      </c>
      <c r="F29" s="12" t="s">
        <v>110</v>
      </c>
      <c r="G29" s="15" t="s">
        <v>157</v>
      </c>
      <c r="H29" s="15" t="s">
        <v>133</v>
      </c>
      <c r="I29" s="15">
        <v>2753.03</v>
      </c>
      <c r="J29" s="15">
        <v>5506.06</v>
      </c>
      <c r="K29" s="53">
        <v>4666.8</v>
      </c>
      <c r="L29" s="15">
        <v>839.26</v>
      </c>
      <c r="M29" s="58">
        <f t="shared" si="0"/>
        <v>839.26000000000022</v>
      </c>
    </row>
    <row r="30" spans="1:13" x14ac:dyDescent="0.3">
      <c r="A30" s="11" t="s">
        <v>30</v>
      </c>
      <c r="B30" s="12" t="s">
        <v>27</v>
      </c>
      <c r="C30" s="12">
        <v>937216</v>
      </c>
      <c r="D30" s="12">
        <v>2022</v>
      </c>
      <c r="E30" s="12" t="s">
        <v>67</v>
      </c>
      <c r="F30" s="12" t="s">
        <v>110</v>
      </c>
      <c r="G30" s="12" t="s">
        <v>158</v>
      </c>
      <c r="H30" s="12" t="s">
        <v>133</v>
      </c>
      <c r="I30" s="12">
        <v>539.55999999999995</v>
      </c>
      <c r="J30" s="12">
        <v>1079.1199999999999</v>
      </c>
      <c r="K30" s="51">
        <v>1079.0999999999999</v>
      </c>
      <c r="L30" s="12">
        <v>0.02</v>
      </c>
      <c r="M30" s="57">
        <f t="shared" si="0"/>
        <v>1.999999999998181E-2</v>
      </c>
    </row>
    <row r="31" spans="1:13" x14ac:dyDescent="0.3">
      <c r="A31" s="14" t="s">
        <v>30</v>
      </c>
      <c r="B31" s="15" t="s">
        <v>27</v>
      </c>
      <c r="C31" s="15">
        <v>937216</v>
      </c>
      <c r="D31" s="15">
        <v>2022</v>
      </c>
      <c r="E31" s="15" t="s">
        <v>66</v>
      </c>
      <c r="F31" s="12" t="s">
        <v>110</v>
      </c>
      <c r="G31" s="15" t="s">
        <v>159</v>
      </c>
      <c r="H31" s="15" t="s">
        <v>160</v>
      </c>
      <c r="I31" s="15">
        <v>326.33</v>
      </c>
      <c r="J31" s="15">
        <v>3915.96</v>
      </c>
      <c r="K31" s="53">
        <v>3480</v>
      </c>
      <c r="L31" s="15">
        <v>435.96</v>
      </c>
      <c r="M31" s="58">
        <f t="shared" si="0"/>
        <v>435.96000000000004</v>
      </c>
    </row>
    <row r="32" spans="1:13" x14ac:dyDescent="0.3">
      <c r="A32" s="11" t="s">
        <v>30</v>
      </c>
      <c r="B32" s="12" t="s">
        <v>27</v>
      </c>
      <c r="C32" s="12">
        <v>937216</v>
      </c>
      <c r="D32" s="12">
        <v>2022</v>
      </c>
      <c r="E32" s="12" t="s">
        <v>67</v>
      </c>
      <c r="F32" s="12" t="s">
        <v>110</v>
      </c>
      <c r="G32" s="12" t="s">
        <v>161</v>
      </c>
      <c r="H32" s="12" t="s">
        <v>112</v>
      </c>
      <c r="I32" s="12">
        <v>35.58</v>
      </c>
      <c r="J32" s="12">
        <v>142.32</v>
      </c>
      <c r="K32" s="51">
        <v>148</v>
      </c>
      <c r="L32" s="12">
        <v>-5.68</v>
      </c>
      <c r="M32" s="57">
        <f t="shared" si="0"/>
        <v>-5.6800000000000068</v>
      </c>
    </row>
    <row r="33" spans="1:13" x14ac:dyDescent="0.3">
      <c r="A33" s="14" t="s">
        <v>30</v>
      </c>
      <c r="B33" s="15" t="s">
        <v>27</v>
      </c>
      <c r="C33" s="15">
        <v>937216</v>
      </c>
      <c r="D33" s="15">
        <v>2022</v>
      </c>
      <c r="E33" s="15" t="s">
        <v>67</v>
      </c>
      <c r="F33" s="12" t="s">
        <v>110</v>
      </c>
      <c r="G33" s="15" t="s">
        <v>162</v>
      </c>
      <c r="H33" s="15" t="s">
        <v>112</v>
      </c>
      <c r="I33" s="15">
        <v>37.83</v>
      </c>
      <c r="J33" s="15">
        <v>151.32</v>
      </c>
      <c r="K33" s="53">
        <v>139.96</v>
      </c>
      <c r="L33" s="15">
        <v>11.36</v>
      </c>
      <c r="M33" s="58">
        <f t="shared" si="0"/>
        <v>11.359999999999985</v>
      </c>
    </row>
    <row r="34" spans="1:13" x14ac:dyDescent="0.3">
      <c r="A34" s="11" t="s">
        <v>30</v>
      </c>
      <c r="B34" s="12" t="s">
        <v>27</v>
      </c>
      <c r="C34" s="12">
        <v>937216</v>
      </c>
      <c r="D34" s="12">
        <v>2022</v>
      </c>
      <c r="E34" s="12" t="s">
        <v>66</v>
      </c>
      <c r="F34" s="12" t="s">
        <v>110</v>
      </c>
      <c r="G34" s="12" t="s">
        <v>163</v>
      </c>
      <c r="H34" s="12" t="s">
        <v>164</v>
      </c>
      <c r="I34" s="12">
        <v>650</v>
      </c>
      <c r="J34" s="12">
        <v>5850</v>
      </c>
      <c r="K34" s="51">
        <v>5850</v>
      </c>
      <c r="L34" s="12"/>
      <c r="M34" s="57">
        <f t="shared" si="0"/>
        <v>0</v>
      </c>
    </row>
    <row r="35" spans="1:13" x14ac:dyDescent="0.3">
      <c r="A35" s="14" t="s">
        <v>30</v>
      </c>
      <c r="B35" s="15" t="s">
        <v>27</v>
      </c>
      <c r="C35" s="15">
        <v>937216</v>
      </c>
      <c r="D35" s="15">
        <v>2022</v>
      </c>
      <c r="E35" s="15" t="s">
        <v>67</v>
      </c>
      <c r="F35" s="12" t="s">
        <v>110</v>
      </c>
      <c r="G35" s="15" t="s">
        <v>165</v>
      </c>
      <c r="H35" s="15" t="s">
        <v>133</v>
      </c>
      <c r="I35" s="15">
        <v>73.33</v>
      </c>
      <c r="J35" s="15">
        <v>146.66</v>
      </c>
      <c r="K35" s="53">
        <v>115.98</v>
      </c>
      <c r="L35" s="15">
        <v>30.68</v>
      </c>
      <c r="M35" s="58">
        <f t="shared" si="0"/>
        <v>30.679999999999993</v>
      </c>
    </row>
    <row r="36" spans="1:13" x14ac:dyDescent="0.3">
      <c r="A36" s="11" t="s">
        <v>30</v>
      </c>
      <c r="B36" s="12" t="s">
        <v>27</v>
      </c>
      <c r="C36" s="12">
        <v>937216</v>
      </c>
      <c r="D36" s="12">
        <v>2022</v>
      </c>
      <c r="E36" s="12" t="s">
        <v>66</v>
      </c>
      <c r="F36" s="12" t="s">
        <v>110</v>
      </c>
      <c r="G36" s="12" t="s">
        <v>166</v>
      </c>
      <c r="H36" s="12" t="s">
        <v>167</v>
      </c>
      <c r="I36" s="12">
        <v>5146.5200000000004</v>
      </c>
      <c r="J36" s="12">
        <v>30879.119999999999</v>
      </c>
      <c r="K36" s="51">
        <v>27000</v>
      </c>
      <c r="L36" s="12">
        <v>3879.12</v>
      </c>
      <c r="M36" s="57">
        <f t="shared" si="0"/>
        <v>3879.119999999999</v>
      </c>
    </row>
    <row r="37" spans="1:13" x14ac:dyDescent="0.3">
      <c r="A37" s="14" t="s">
        <v>30</v>
      </c>
      <c r="B37" s="15" t="s">
        <v>27</v>
      </c>
      <c r="C37" s="15">
        <v>937216</v>
      </c>
      <c r="D37" s="15">
        <v>2022</v>
      </c>
      <c r="E37" s="15" t="s">
        <v>67</v>
      </c>
      <c r="F37" s="12" t="s">
        <v>110</v>
      </c>
      <c r="G37" s="15" t="s">
        <v>168</v>
      </c>
      <c r="H37" s="15" t="s">
        <v>116</v>
      </c>
      <c r="I37" s="15">
        <v>3949.83</v>
      </c>
      <c r="J37" s="15">
        <v>3949.83</v>
      </c>
      <c r="K37" s="53">
        <v>3750</v>
      </c>
      <c r="L37" s="15">
        <v>3949.83</v>
      </c>
      <c r="M37" s="58">
        <f t="shared" si="0"/>
        <v>199.82999999999993</v>
      </c>
    </row>
    <row r="38" spans="1:13" x14ac:dyDescent="0.3">
      <c r="A38" s="11" t="s">
        <v>30</v>
      </c>
      <c r="B38" s="12" t="s">
        <v>27</v>
      </c>
      <c r="C38" s="12">
        <v>937216</v>
      </c>
      <c r="D38" s="12">
        <v>2022</v>
      </c>
      <c r="E38" s="12" t="s">
        <v>67</v>
      </c>
      <c r="F38" s="12" t="s">
        <v>110</v>
      </c>
      <c r="G38" s="12" t="s">
        <v>169</v>
      </c>
      <c r="H38" s="12" t="s">
        <v>116</v>
      </c>
      <c r="I38" s="12">
        <v>5263.33</v>
      </c>
      <c r="J38" s="12">
        <v>5263.33</v>
      </c>
      <c r="K38" s="51">
        <v>10394.56</v>
      </c>
      <c r="L38" s="12">
        <v>83.33</v>
      </c>
      <c r="M38" s="57">
        <f t="shared" si="0"/>
        <v>-5131.2299999999996</v>
      </c>
    </row>
    <row r="39" spans="1:13" x14ac:dyDescent="0.3">
      <c r="A39" s="14" t="s">
        <v>30</v>
      </c>
      <c r="B39" s="15" t="s">
        <v>27</v>
      </c>
      <c r="C39" s="15">
        <v>937216</v>
      </c>
      <c r="D39" s="15">
        <v>2022</v>
      </c>
      <c r="E39" s="15" t="s">
        <v>66</v>
      </c>
      <c r="F39" s="12" t="s">
        <v>110</v>
      </c>
      <c r="G39" s="15" t="s">
        <v>170</v>
      </c>
      <c r="H39" s="15" t="s">
        <v>112</v>
      </c>
      <c r="I39" s="15">
        <v>1827</v>
      </c>
      <c r="J39" s="15">
        <v>7308</v>
      </c>
      <c r="K39" s="53">
        <v>0</v>
      </c>
      <c r="L39" s="15">
        <v>7308</v>
      </c>
      <c r="M39" s="58">
        <f t="shared" si="0"/>
        <v>0</v>
      </c>
    </row>
    <row r="40" spans="1:13" x14ac:dyDescent="0.3">
      <c r="A40" s="11" t="s">
        <v>30</v>
      </c>
      <c r="B40" s="12" t="s">
        <v>27</v>
      </c>
      <c r="C40" s="12">
        <v>937216</v>
      </c>
      <c r="D40" s="12">
        <v>2022</v>
      </c>
      <c r="E40" s="12" t="s">
        <v>66</v>
      </c>
      <c r="F40" s="12" t="s">
        <v>110</v>
      </c>
      <c r="G40" s="12" t="s">
        <v>171</v>
      </c>
      <c r="H40" s="12" t="s">
        <v>116</v>
      </c>
      <c r="I40" s="12">
        <v>1510.39</v>
      </c>
      <c r="J40" s="12">
        <v>1510.39</v>
      </c>
      <c r="K40" s="51">
        <v>1490</v>
      </c>
      <c r="L40" s="12">
        <v>20.39</v>
      </c>
      <c r="M40" s="57">
        <f t="shared" si="0"/>
        <v>20.3900000000001</v>
      </c>
    </row>
    <row r="41" spans="1:13" x14ac:dyDescent="0.3">
      <c r="A41" s="14" t="s">
        <v>30</v>
      </c>
      <c r="B41" s="15" t="s">
        <v>27</v>
      </c>
      <c r="C41" s="15">
        <v>937216</v>
      </c>
      <c r="D41" s="15">
        <v>2022</v>
      </c>
      <c r="E41" s="15" t="s">
        <v>66</v>
      </c>
      <c r="F41" s="12" t="s">
        <v>110</v>
      </c>
      <c r="G41" s="15" t="s">
        <v>172</v>
      </c>
      <c r="H41" s="15" t="s">
        <v>167</v>
      </c>
      <c r="I41" s="15">
        <v>789.2</v>
      </c>
      <c r="J41" s="15">
        <v>4735.2</v>
      </c>
      <c r="K41" s="53">
        <v>1500</v>
      </c>
      <c r="L41" s="15">
        <v>3235.2</v>
      </c>
      <c r="M41" s="58">
        <f t="shared" si="0"/>
        <v>3235.2</v>
      </c>
    </row>
    <row r="42" spans="1:13" x14ac:dyDescent="0.3">
      <c r="A42" s="11" t="s">
        <v>30</v>
      </c>
      <c r="B42" s="12" t="s">
        <v>27</v>
      </c>
      <c r="C42" s="12">
        <v>937216</v>
      </c>
      <c r="D42" s="12">
        <v>2022</v>
      </c>
      <c r="E42" s="12" t="s">
        <v>66</v>
      </c>
      <c r="F42" s="12" t="s">
        <v>110</v>
      </c>
      <c r="G42" s="12" t="s">
        <v>173</v>
      </c>
      <c r="H42" s="12" t="s">
        <v>126</v>
      </c>
      <c r="I42" s="12">
        <v>924.4</v>
      </c>
      <c r="J42" s="12">
        <v>9244</v>
      </c>
      <c r="K42" s="51">
        <v>4600</v>
      </c>
      <c r="L42" s="12">
        <v>4644</v>
      </c>
      <c r="M42" s="57">
        <f t="shared" si="0"/>
        <v>4644</v>
      </c>
    </row>
    <row r="43" spans="1:13" x14ac:dyDescent="0.3">
      <c r="A43" s="14" t="s">
        <v>30</v>
      </c>
      <c r="B43" s="15" t="s">
        <v>27</v>
      </c>
      <c r="C43" s="15">
        <v>937216</v>
      </c>
      <c r="D43" s="15">
        <v>2022</v>
      </c>
      <c r="E43" s="15" t="s">
        <v>66</v>
      </c>
      <c r="F43" s="12" t="s">
        <v>110</v>
      </c>
      <c r="G43" s="15" t="s">
        <v>174</v>
      </c>
      <c r="H43" s="15" t="s">
        <v>175</v>
      </c>
      <c r="I43" s="15">
        <v>232.35</v>
      </c>
      <c r="J43" s="15">
        <v>3485.25</v>
      </c>
      <c r="K43" s="53">
        <v>2910</v>
      </c>
      <c r="L43" s="15">
        <v>575.25</v>
      </c>
      <c r="M43" s="58">
        <f t="shared" si="0"/>
        <v>575.25</v>
      </c>
    </row>
    <row r="44" spans="1:13" x14ac:dyDescent="0.3">
      <c r="A44" s="11" t="s">
        <v>30</v>
      </c>
      <c r="B44" s="12" t="s">
        <v>27</v>
      </c>
      <c r="C44" s="12">
        <v>937216</v>
      </c>
      <c r="D44" s="12">
        <v>2022</v>
      </c>
      <c r="E44" s="12" t="s">
        <v>67</v>
      </c>
      <c r="F44" s="12" t="s">
        <v>110</v>
      </c>
      <c r="G44" s="12" t="s">
        <v>176</v>
      </c>
      <c r="H44" s="12" t="s">
        <v>114</v>
      </c>
      <c r="I44" s="12">
        <v>1417.26</v>
      </c>
      <c r="J44" s="12">
        <v>7086.3</v>
      </c>
      <c r="K44" s="51">
        <v>7086.25</v>
      </c>
      <c r="L44" s="12">
        <v>0.05</v>
      </c>
      <c r="M44" s="57">
        <f t="shared" si="0"/>
        <v>5.0000000000181899E-2</v>
      </c>
    </row>
    <row r="45" spans="1:13" x14ac:dyDescent="0.3">
      <c r="A45" s="14" t="s">
        <v>30</v>
      </c>
      <c r="B45" s="15" t="s">
        <v>27</v>
      </c>
      <c r="C45" s="15">
        <v>937216</v>
      </c>
      <c r="D45" s="15">
        <v>2022</v>
      </c>
      <c r="E45" s="15" t="s">
        <v>65</v>
      </c>
      <c r="F45" s="12" t="s">
        <v>110</v>
      </c>
      <c r="G45" s="15" t="s">
        <v>177</v>
      </c>
      <c r="H45" s="15" t="s">
        <v>116</v>
      </c>
      <c r="I45" s="15">
        <v>106486</v>
      </c>
      <c r="J45" s="15">
        <v>106486</v>
      </c>
      <c r="K45" s="53">
        <v>106486</v>
      </c>
      <c r="L45" s="15"/>
      <c r="M45" s="58">
        <f t="shared" si="0"/>
        <v>0</v>
      </c>
    </row>
    <row r="46" spans="1:13" x14ac:dyDescent="0.3">
      <c r="A46" s="11" t="s">
        <v>30</v>
      </c>
      <c r="B46" s="12" t="s">
        <v>27</v>
      </c>
      <c r="C46" s="12">
        <v>937216</v>
      </c>
      <c r="D46" s="12">
        <v>2022</v>
      </c>
      <c r="E46" s="12" t="s">
        <v>67</v>
      </c>
      <c r="F46" s="12" t="s">
        <v>110</v>
      </c>
      <c r="G46" s="12" t="s">
        <v>178</v>
      </c>
      <c r="H46" s="12" t="s">
        <v>116</v>
      </c>
      <c r="I46" s="12">
        <v>91.1</v>
      </c>
      <c r="J46" s="12">
        <v>91.1</v>
      </c>
      <c r="K46" s="51">
        <v>91.1</v>
      </c>
      <c r="L46" s="12"/>
      <c r="M46" s="57">
        <f t="shared" si="0"/>
        <v>0</v>
      </c>
    </row>
    <row r="47" spans="1:13" x14ac:dyDescent="0.3">
      <c r="A47" s="14" t="s">
        <v>30</v>
      </c>
      <c r="B47" s="15" t="s">
        <v>27</v>
      </c>
      <c r="C47" s="15">
        <v>937216</v>
      </c>
      <c r="D47" s="15">
        <v>2022</v>
      </c>
      <c r="E47" s="15" t="s">
        <v>66</v>
      </c>
      <c r="F47" s="12" t="s">
        <v>110</v>
      </c>
      <c r="G47" s="15" t="s">
        <v>179</v>
      </c>
      <c r="H47" s="15" t="s">
        <v>112</v>
      </c>
      <c r="I47" s="15">
        <v>1189.51</v>
      </c>
      <c r="J47" s="15">
        <v>4758.04</v>
      </c>
      <c r="K47" s="53">
        <v>3795</v>
      </c>
      <c r="L47" s="15">
        <v>963.04</v>
      </c>
      <c r="M47" s="58">
        <f t="shared" si="0"/>
        <v>963.04</v>
      </c>
    </row>
    <row r="48" spans="1:13" x14ac:dyDescent="0.3">
      <c r="A48" s="11" t="s">
        <v>30</v>
      </c>
      <c r="B48" s="12" t="s">
        <v>27</v>
      </c>
      <c r="C48" s="12">
        <v>937216</v>
      </c>
      <c r="D48" s="12">
        <v>2022</v>
      </c>
      <c r="E48" s="12" t="s">
        <v>66</v>
      </c>
      <c r="F48" s="12" t="s">
        <v>110</v>
      </c>
      <c r="G48" s="12" t="s">
        <v>180</v>
      </c>
      <c r="H48" s="12" t="s">
        <v>116</v>
      </c>
      <c r="I48" s="12">
        <v>770.73</v>
      </c>
      <c r="J48" s="12">
        <v>770.73</v>
      </c>
      <c r="K48" s="51">
        <v>770</v>
      </c>
      <c r="L48" s="12">
        <v>0.73</v>
      </c>
      <c r="M48" s="57">
        <f t="shared" si="0"/>
        <v>0.73000000000001819</v>
      </c>
    </row>
    <row r="49" spans="1:13" x14ac:dyDescent="0.3">
      <c r="A49" s="14" t="s">
        <v>30</v>
      </c>
      <c r="B49" s="15" t="s">
        <v>27</v>
      </c>
      <c r="C49" s="15">
        <v>937216</v>
      </c>
      <c r="D49" s="15">
        <v>2022</v>
      </c>
      <c r="E49" s="15" t="s">
        <v>67</v>
      </c>
      <c r="F49" s="12" t="s">
        <v>110</v>
      </c>
      <c r="G49" s="15" t="s">
        <v>181</v>
      </c>
      <c r="H49" s="15" t="s">
        <v>116</v>
      </c>
      <c r="I49" s="15">
        <v>74.33</v>
      </c>
      <c r="J49" s="15">
        <v>74.33</v>
      </c>
      <c r="K49" s="53">
        <v>74.319999999999993</v>
      </c>
      <c r="L49" s="15">
        <v>0.01</v>
      </c>
      <c r="M49" s="58">
        <f t="shared" si="0"/>
        <v>1.0000000000005116E-2</v>
      </c>
    </row>
    <row r="50" spans="1:13" x14ac:dyDescent="0.3">
      <c r="A50" s="11" t="s">
        <v>30</v>
      </c>
      <c r="B50" s="12" t="s">
        <v>27</v>
      </c>
      <c r="C50" s="12">
        <v>937216</v>
      </c>
      <c r="D50" s="12">
        <v>2022</v>
      </c>
      <c r="E50" s="12" t="s">
        <v>66</v>
      </c>
      <c r="F50" s="12" t="s">
        <v>110</v>
      </c>
      <c r="G50" s="12" t="s">
        <v>182</v>
      </c>
      <c r="H50" s="12" t="s">
        <v>133</v>
      </c>
      <c r="I50" s="12">
        <v>1519.33</v>
      </c>
      <c r="J50" s="12">
        <v>3038.66</v>
      </c>
      <c r="K50" s="51">
        <v>3017.98</v>
      </c>
      <c r="L50" s="12">
        <v>20.68</v>
      </c>
      <c r="M50" s="57">
        <f t="shared" si="0"/>
        <v>20.679999999999836</v>
      </c>
    </row>
    <row r="51" spans="1:13" x14ac:dyDescent="0.3">
      <c r="A51" s="54" t="s">
        <v>30</v>
      </c>
      <c r="B51" s="55" t="s">
        <v>27</v>
      </c>
      <c r="C51" s="55">
        <v>937216</v>
      </c>
      <c r="D51" s="55">
        <v>2022</v>
      </c>
      <c r="E51" s="55" t="s">
        <v>67</v>
      </c>
      <c r="F51" s="59" t="s">
        <v>110</v>
      </c>
      <c r="G51" s="55" t="s">
        <v>183</v>
      </c>
      <c r="H51" s="55" t="s">
        <v>116</v>
      </c>
      <c r="I51" s="55">
        <v>331</v>
      </c>
      <c r="J51" s="55">
        <v>331</v>
      </c>
      <c r="K51" s="140">
        <v>309.99</v>
      </c>
      <c r="L51" s="55">
        <v>21.01</v>
      </c>
      <c r="M51" s="60">
        <f t="shared" si="0"/>
        <v>21.009999999999991</v>
      </c>
    </row>
    <row r="52" spans="1:13" x14ac:dyDescent="0.3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51"/>
      <c r="L52" s="13"/>
    </row>
    <row r="53" spans="1:13" x14ac:dyDescent="0.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53"/>
      <c r="L53" s="16"/>
    </row>
    <row r="54" spans="1:13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51"/>
      <c r="L54" s="13"/>
    </row>
    <row r="55" spans="1:13" x14ac:dyDescent="0.3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53"/>
      <c r="L55" s="16"/>
    </row>
    <row r="56" spans="1:13" x14ac:dyDescent="0.3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51"/>
      <c r="L56" s="13"/>
    </row>
    <row r="57" spans="1:13" x14ac:dyDescent="0.3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53"/>
      <c r="L57" s="16"/>
    </row>
    <row r="58" spans="1:13" x14ac:dyDescent="0.3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51"/>
      <c r="L58" s="13"/>
    </row>
  </sheetData>
  <autoFilter ref="A1:M51" xr:uid="{45AE658D-C2FE-4C5D-AEE3-FE8745786B1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C025-C5ED-4C0E-BA99-8AE531702F50}">
  <dimension ref="A1:M28"/>
  <sheetViews>
    <sheetView zoomScale="70" zoomScaleNormal="70" workbookViewId="0">
      <selection activeCell="F10" sqref="F10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9" t="s">
        <v>0</v>
      </c>
      <c r="B1" s="10" t="s">
        <v>1</v>
      </c>
      <c r="C1" s="10" t="s">
        <v>2</v>
      </c>
      <c r="D1" s="10" t="s">
        <v>3</v>
      </c>
      <c r="E1" s="27" t="s">
        <v>94</v>
      </c>
      <c r="F1" s="27" t="s">
        <v>95</v>
      </c>
      <c r="G1" s="27" t="s">
        <v>96</v>
      </c>
      <c r="H1" s="27" t="s">
        <v>97</v>
      </c>
      <c r="I1" s="28" t="s">
        <v>98</v>
      </c>
      <c r="J1" s="28" t="s">
        <v>99</v>
      </c>
      <c r="K1" s="28" t="s">
        <v>100</v>
      </c>
      <c r="L1" s="29" t="s">
        <v>101</v>
      </c>
      <c r="M1" s="46" t="s">
        <v>102</v>
      </c>
    </row>
    <row r="2" spans="1:13" x14ac:dyDescent="0.3">
      <c r="A2" s="17" t="s">
        <v>32</v>
      </c>
      <c r="B2" s="18" t="s">
        <v>27</v>
      </c>
      <c r="C2" s="18">
        <v>937871</v>
      </c>
      <c r="D2" s="18">
        <v>2022</v>
      </c>
      <c r="E2" s="18" t="s">
        <v>66</v>
      </c>
      <c r="F2" s="18" t="s">
        <v>103</v>
      </c>
      <c r="G2" s="18" t="s">
        <v>184</v>
      </c>
      <c r="H2" s="18" t="s">
        <v>185</v>
      </c>
      <c r="I2" s="30">
        <v>2555.2800000000002</v>
      </c>
      <c r="J2" s="30">
        <v>51105.53</v>
      </c>
      <c r="K2" s="30"/>
      <c r="L2" s="8">
        <f t="shared" ref="L2:L6" si="0">J2-K2</f>
        <v>51105.53</v>
      </c>
      <c r="M2" s="47">
        <f>IF(E2="N/A", J2, IF(OR(K2=0, ISBLANK(K2), K2=""), 0, J2-K2))</f>
        <v>0</v>
      </c>
    </row>
    <row r="3" spans="1:13" x14ac:dyDescent="0.3">
      <c r="A3" s="5" t="s">
        <v>32</v>
      </c>
      <c r="B3" s="6" t="s">
        <v>27</v>
      </c>
      <c r="C3" s="6">
        <v>937871</v>
      </c>
      <c r="D3" s="6">
        <v>2022</v>
      </c>
      <c r="E3" s="6" t="s">
        <v>65</v>
      </c>
      <c r="F3" s="6" t="s">
        <v>103</v>
      </c>
      <c r="G3" s="6" t="s">
        <v>186</v>
      </c>
      <c r="H3" s="6" t="s">
        <v>133</v>
      </c>
      <c r="I3" s="7">
        <v>4224.67</v>
      </c>
      <c r="J3" s="7">
        <v>8449.33</v>
      </c>
      <c r="K3" s="7"/>
      <c r="L3" s="8">
        <f t="shared" si="0"/>
        <v>8449.33</v>
      </c>
      <c r="M3" s="47">
        <f t="shared" ref="M3:M26" si="1">IF(E3="N/A", J3, IF(OR(K3=0, ISBLANK(K3), K3=""), 0, J3-K3))</f>
        <v>0</v>
      </c>
    </row>
    <row r="4" spans="1:13" x14ac:dyDescent="0.3">
      <c r="A4" s="17" t="s">
        <v>32</v>
      </c>
      <c r="B4" s="18" t="s">
        <v>27</v>
      </c>
      <c r="C4" s="18">
        <v>937871</v>
      </c>
      <c r="D4" s="18">
        <v>2022</v>
      </c>
      <c r="E4" s="18" t="s">
        <v>66</v>
      </c>
      <c r="F4" s="18" t="s">
        <v>110</v>
      </c>
      <c r="G4" s="18" t="s">
        <v>187</v>
      </c>
      <c r="H4" s="18">
        <v>2</v>
      </c>
      <c r="I4" s="30">
        <v>2195.7199999999998</v>
      </c>
      <c r="J4" s="30">
        <f>H4*I4</f>
        <v>4391.4399999999996</v>
      </c>
      <c r="K4" s="30"/>
      <c r="L4" s="8">
        <f t="shared" si="0"/>
        <v>4391.4399999999996</v>
      </c>
      <c r="M4" s="47">
        <f t="shared" si="1"/>
        <v>0</v>
      </c>
    </row>
    <row r="5" spans="1:13" x14ac:dyDescent="0.3">
      <c r="A5" s="17" t="s">
        <v>32</v>
      </c>
      <c r="B5" s="18" t="s">
        <v>27</v>
      </c>
      <c r="C5" s="18">
        <v>937871</v>
      </c>
      <c r="D5" s="18">
        <v>2022</v>
      </c>
      <c r="E5" s="18" t="s">
        <v>67</v>
      </c>
      <c r="F5" s="18" t="s">
        <v>110</v>
      </c>
      <c r="G5" s="18" t="s">
        <v>187</v>
      </c>
      <c r="H5" s="18">
        <v>5</v>
      </c>
      <c r="I5" s="30">
        <v>2195.7199999999998</v>
      </c>
      <c r="J5" s="30">
        <f>H5*I5</f>
        <v>10978.599999999999</v>
      </c>
      <c r="K5" s="30"/>
      <c r="L5" s="8">
        <f t="shared" si="0"/>
        <v>10978.599999999999</v>
      </c>
      <c r="M5" s="47">
        <f t="shared" si="1"/>
        <v>0</v>
      </c>
    </row>
    <row r="6" spans="1:13" x14ac:dyDescent="0.3">
      <c r="A6" s="17" t="s">
        <v>32</v>
      </c>
      <c r="B6" s="18" t="s">
        <v>27</v>
      </c>
      <c r="C6" s="18">
        <v>937871</v>
      </c>
      <c r="D6" s="18">
        <v>2022</v>
      </c>
      <c r="E6" s="18" t="s">
        <v>65</v>
      </c>
      <c r="F6" s="18" t="s">
        <v>110</v>
      </c>
      <c r="G6" s="18" t="s">
        <v>187</v>
      </c>
      <c r="H6" s="18">
        <v>1</v>
      </c>
      <c r="I6" s="30">
        <v>2195.7199999999998</v>
      </c>
      <c r="J6" s="30">
        <f>H6*I6</f>
        <v>2195.7199999999998</v>
      </c>
      <c r="K6" s="30"/>
      <c r="L6" s="8">
        <f t="shared" si="0"/>
        <v>2195.7199999999998</v>
      </c>
      <c r="M6" s="47">
        <f t="shared" si="1"/>
        <v>0</v>
      </c>
    </row>
    <row r="7" spans="1:13" x14ac:dyDescent="0.3">
      <c r="A7" s="5" t="s">
        <v>32</v>
      </c>
      <c r="B7" s="6" t="s">
        <v>27</v>
      </c>
      <c r="C7" s="6">
        <v>937871</v>
      </c>
      <c r="D7" s="6">
        <v>2022</v>
      </c>
      <c r="E7" s="6" t="s">
        <v>66</v>
      </c>
      <c r="F7" s="18" t="s">
        <v>110</v>
      </c>
      <c r="G7" s="6" t="s">
        <v>188</v>
      </c>
      <c r="H7" s="6">
        <v>12</v>
      </c>
      <c r="I7" s="7">
        <v>390.53</v>
      </c>
      <c r="J7" s="7">
        <f>H7*I7</f>
        <v>4686.3599999999997</v>
      </c>
      <c r="K7" s="7">
        <v>2951.88</v>
      </c>
      <c r="L7" s="8">
        <f>J7-K7</f>
        <v>1734.4799999999996</v>
      </c>
      <c r="M7" s="47">
        <f t="shared" si="1"/>
        <v>1734.4799999999996</v>
      </c>
    </row>
    <row r="8" spans="1:13" x14ac:dyDescent="0.3">
      <c r="A8" s="5" t="s">
        <v>32</v>
      </c>
      <c r="B8" s="6" t="s">
        <v>27</v>
      </c>
      <c r="C8" s="6">
        <v>937871</v>
      </c>
      <c r="D8" s="6">
        <v>2022</v>
      </c>
      <c r="E8" s="6" t="s">
        <v>65</v>
      </c>
      <c r="F8" s="18" t="s">
        <v>110</v>
      </c>
      <c r="G8" s="6" t="s">
        <v>188</v>
      </c>
      <c r="H8" s="6">
        <v>4</v>
      </c>
      <c r="I8" s="7">
        <v>390.53</v>
      </c>
      <c r="J8" s="7">
        <f>H8*I8</f>
        <v>1562.12</v>
      </c>
      <c r="K8" s="7">
        <v>983.96</v>
      </c>
      <c r="L8" s="8">
        <f t="shared" ref="L8:L26" si="2">J8-K8</f>
        <v>578.15999999999985</v>
      </c>
      <c r="M8" s="47">
        <f t="shared" si="1"/>
        <v>578.15999999999985</v>
      </c>
    </row>
    <row r="9" spans="1:13" x14ac:dyDescent="0.3">
      <c r="A9" s="17" t="s">
        <v>32</v>
      </c>
      <c r="B9" s="18" t="s">
        <v>27</v>
      </c>
      <c r="C9" s="18">
        <v>937871</v>
      </c>
      <c r="D9" s="18">
        <v>2022</v>
      </c>
      <c r="E9" s="18" t="s">
        <v>134</v>
      </c>
      <c r="F9" s="18" t="s">
        <v>110</v>
      </c>
      <c r="G9" s="18" t="s">
        <v>189</v>
      </c>
      <c r="H9" s="18" t="s">
        <v>116</v>
      </c>
      <c r="I9" s="30">
        <v>42884.02</v>
      </c>
      <c r="J9" s="30">
        <v>42884.02</v>
      </c>
      <c r="K9" s="30">
        <v>0</v>
      </c>
      <c r="L9" s="8">
        <f t="shared" si="2"/>
        <v>42884.02</v>
      </c>
      <c r="M9" s="47">
        <f t="shared" si="1"/>
        <v>42884.02</v>
      </c>
    </row>
    <row r="10" spans="1:13" x14ac:dyDescent="0.3">
      <c r="A10" s="5" t="s">
        <v>32</v>
      </c>
      <c r="B10" s="6" t="s">
        <v>27</v>
      </c>
      <c r="C10" s="6">
        <v>937871</v>
      </c>
      <c r="D10" s="6">
        <v>2022</v>
      </c>
      <c r="E10" s="6" t="s">
        <v>65</v>
      </c>
      <c r="F10" s="18" t="s">
        <v>110</v>
      </c>
      <c r="G10" s="6" t="s">
        <v>190</v>
      </c>
      <c r="H10" s="6" t="s">
        <v>116</v>
      </c>
      <c r="I10" s="7">
        <v>3351.47</v>
      </c>
      <c r="J10" s="7">
        <v>3351.47</v>
      </c>
      <c r="K10" s="7"/>
      <c r="L10" s="8">
        <f t="shared" si="2"/>
        <v>3351.47</v>
      </c>
      <c r="M10" s="47">
        <f t="shared" si="1"/>
        <v>0</v>
      </c>
    </row>
    <row r="11" spans="1:13" x14ac:dyDescent="0.3">
      <c r="A11" s="17" t="s">
        <v>32</v>
      </c>
      <c r="B11" s="18" t="s">
        <v>27</v>
      </c>
      <c r="C11" s="18">
        <v>937871</v>
      </c>
      <c r="D11" s="18">
        <v>2022</v>
      </c>
      <c r="E11" s="18" t="s">
        <v>66</v>
      </c>
      <c r="F11" s="18" t="s">
        <v>110</v>
      </c>
      <c r="G11" s="18" t="s">
        <v>191</v>
      </c>
      <c r="H11" s="18" t="s">
        <v>112</v>
      </c>
      <c r="I11" s="30">
        <v>1112.78</v>
      </c>
      <c r="J11" s="30">
        <v>4451.12</v>
      </c>
      <c r="K11" s="30"/>
      <c r="L11" s="8">
        <f t="shared" si="2"/>
        <v>4451.12</v>
      </c>
      <c r="M11" s="47">
        <f t="shared" si="1"/>
        <v>0</v>
      </c>
    </row>
    <row r="12" spans="1:13" x14ac:dyDescent="0.3">
      <c r="A12" s="5" t="s">
        <v>32</v>
      </c>
      <c r="B12" s="6" t="s">
        <v>27</v>
      </c>
      <c r="C12" s="6">
        <v>937871</v>
      </c>
      <c r="D12" s="6">
        <v>2022</v>
      </c>
      <c r="E12" s="6" t="s">
        <v>66</v>
      </c>
      <c r="F12" s="18" t="s">
        <v>110</v>
      </c>
      <c r="G12" s="6" t="s">
        <v>192</v>
      </c>
      <c r="H12" s="6">
        <v>12</v>
      </c>
      <c r="I12" s="7">
        <v>70.8</v>
      </c>
      <c r="J12" s="7">
        <f t="shared" ref="J12:J20" si="3">H12*I12</f>
        <v>849.59999999999991</v>
      </c>
      <c r="K12" s="7">
        <v>849.59999999999991</v>
      </c>
      <c r="L12" s="8">
        <f t="shared" si="2"/>
        <v>0</v>
      </c>
      <c r="M12" s="47">
        <f t="shared" si="1"/>
        <v>0</v>
      </c>
    </row>
    <row r="13" spans="1:13" x14ac:dyDescent="0.3">
      <c r="A13" s="5" t="s">
        <v>32</v>
      </c>
      <c r="B13" s="6" t="s">
        <v>27</v>
      </c>
      <c r="C13" s="6">
        <v>937871</v>
      </c>
      <c r="D13" s="6">
        <v>2022</v>
      </c>
      <c r="E13" s="6" t="s">
        <v>65</v>
      </c>
      <c r="F13" s="18" t="s">
        <v>110</v>
      </c>
      <c r="G13" s="6" t="s">
        <v>192</v>
      </c>
      <c r="H13" s="6">
        <v>4</v>
      </c>
      <c r="I13" s="7">
        <v>70.8</v>
      </c>
      <c r="J13" s="7">
        <f t="shared" si="3"/>
        <v>283.2</v>
      </c>
      <c r="K13" s="7">
        <v>283.2</v>
      </c>
      <c r="L13" s="8">
        <f t="shared" si="2"/>
        <v>0</v>
      </c>
      <c r="M13" s="47">
        <f t="shared" si="1"/>
        <v>0</v>
      </c>
    </row>
    <row r="14" spans="1:13" x14ac:dyDescent="0.3">
      <c r="A14" s="17" t="s">
        <v>32</v>
      </c>
      <c r="B14" s="18" t="s">
        <v>27</v>
      </c>
      <c r="C14" s="18">
        <v>937871</v>
      </c>
      <c r="D14" s="18">
        <v>2022</v>
      </c>
      <c r="E14" s="18" t="s">
        <v>67</v>
      </c>
      <c r="F14" s="18" t="s">
        <v>110</v>
      </c>
      <c r="G14" s="18" t="s">
        <v>193</v>
      </c>
      <c r="H14" s="18">
        <v>12</v>
      </c>
      <c r="I14" s="30">
        <v>4682.8599999999997</v>
      </c>
      <c r="J14" s="30">
        <f t="shared" si="3"/>
        <v>56194.319999999992</v>
      </c>
      <c r="K14" s="30"/>
      <c r="L14" s="8">
        <f t="shared" si="2"/>
        <v>56194.319999999992</v>
      </c>
      <c r="M14" s="47">
        <f t="shared" si="1"/>
        <v>0</v>
      </c>
    </row>
    <row r="15" spans="1:13" x14ac:dyDescent="0.3">
      <c r="A15" s="17" t="s">
        <v>32</v>
      </c>
      <c r="B15" s="18" t="s">
        <v>27</v>
      </c>
      <c r="C15" s="18">
        <v>937871</v>
      </c>
      <c r="D15" s="18">
        <v>2022</v>
      </c>
      <c r="E15" s="18" t="s">
        <v>65</v>
      </c>
      <c r="F15" s="18" t="s">
        <v>110</v>
      </c>
      <c r="G15" s="18" t="s">
        <v>193</v>
      </c>
      <c r="H15" s="18">
        <v>1</v>
      </c>
      <c r="I15" s="30">
        <v>4682.8599999999997</v>
      </c>
      <c r="J15" s="30">
        <f t="shared" si="3"/>
        <v>4682.8599999999997</v>
      </c>
      <c r="K15" s="30"/>
      <c r="L15" s="8">
        <f t="shared" si="2"/>
        <v>4682.8599999999997</v>
      </c>
      <c r="M15" s="47">
        <f t="shared" si="1"/>
        <v>0</v>
      </c>
    </row>
    <row r="16" spans="1:13" x14ac:dyDescent="0.3">
      <c r="A16" s="5" t="s">
        <v>32</v>
      </c>
      <c r="B16" s="6" t="s">
        <v>27</v>
      </c>
      <c r="C16" s="6">
        <v>937871</v>
      </c>
      <c r="D16" s="6">
        <v>2022</v>
      </c>
      <c r="E16" s="6" t="s">
        <v>66</v>
      </c>
      <c r="F16" s="18" t="s">
        <v>110</v>
      </c>
      <c r="G16" s="6" t="s">
        <v>194</v>
      </c>
      <c r="H16" s="6">
        <v>12</v>
      </c>
      <c r="I16" s="7">
        <v>266.3</v>
      </c>
      <c r="J16" s="7">
        <f t="shared" si="3"/>
        <v>3195.6000000000004</v>
      </c>
      <c r="K16" s="7"/>
      <c r="L16" s="8">
        <f t="shared" si="2"/>
        <v>3195.6000000000004</v>
      </c>
      <c r="M16" s="47">
        <f t="shared" si="1"/>
        <v>0</v>
      </c>
    </row>
    <row r="17" spans="1:13" x14ac:dyDescent="0.3">
      <c r="A17" s="5" t="s">
        <v>32</v>
      </c>
      <c r="B17" s="6" t="s">
        <v>27</v>
      </c>
      <c r="C17" s="6">
        <v>937871</v>
      </c>
      <c r="D17" s="6">
        <v>2022</v>
      </c>
      <c r="E17" s="6" t="s">
        <v>65</v>
      </c>
      <c r="F17" s="18" t="s">
        <v>110</v>
      </c>
      <c r="G17" s="6" t="s">
        <v>194</v>
      </c>
      <c r="H17" s="6">
        <v>4</v>
      </c>
      <c r="I17" s="7">
        <v>266.3</v>
      </c>
      <c r="J17" s="7">
        <f t="shared" si="3"/>
        <v>1065.2</v>
      </c>
      <c r="K17" s="7"/>
      <c r="L17" s="8">
        <f t="shared" si="2"/>
        <v>1065.2</v>
      </c>
      <c r="M17" s="47">
        <f t="shared" si="1"/>
        <v>0</v>
      </c>
    </row>
    <row r="18" spans="1:13" x14ac:dyDescent="0.3">
      <c r="A18" s="17" t="s">
        <v>32</v>
      </c>
      <c r="B18" s="18" t="s">
        <v>27</v>
      </c>
      <c r="C18" s="18">
        <v>937871</v>
      </c>
      <c r="D18" s="18">
        <v>2022</v>
      </c>
      <c r="E18" s="18" t="s">
        <v>67</v>
      </c>
      <c r="F18" s="18" t="s">
        <v>110</v>
      </c>
      <c r="G18" s="18" t="s">
        <v>195</v>
      </c>
      <c r="H18" s="18">
        <v>12</v>
      </c>
      <c r="I18" s="30">
        <v>3557</v>
      </c>
      <c r="J18" s="30">
        <f t="shared" si="3"/>
        <v>42684</v>
      </c>
      <c r="K18" s="30">
        <v>42684</v>
      </c>
      <c r="L18" s="8">
        <f t="shared" si="2"/>
        <v>0</v>
      </c>
      <c r="M18" s="47">
        <f t="shared" si="1"/>
        <v>0</v>
      </c>
    </row>
    <row r="19" spans="1:13" x14ac:dyDescent="0.3">
      <c r="A19" s="17" t="s">
        <v>32</v>
      </c>
      <c r="B19" s="18" t="s">
        <v>27</v>
      </c>
      <c r="C19" s="18">
        <v>937871</v>
      </c>
      <c r="D19" s="18">
        <v>2022</v>
      </c>
      <c r="E19" s="18" t="s">
        <v>66</v>
      </c>
      <c r="F19" s="18" t="s">
        <v>110</v>
      </c>
      <c r="G19" s="18" t="s">
        <v>195</v>
      </c>
      <c r="H19" s="18">
        <v>12</v>
      </c>
      <c r="I19" s="30">
        <v>3557</v>
      </c>
      <c r="J19" s="30">
        <f t="shared" si="3"/>
        <v>42684</v>
      </c>
      <c r="K19" s="30">
        <v>42684</v>
      </c>
      <c r="L19" s="8">
        <f t="shared" si="2"/>
        <v>0</v>
      </c>
      <c r="M19" s="47">
        <f t="shared" si="1"/>
        <v>0</v>
      </c>
    </row>
    <row r="20" spans="1:13" x14ac:dyDescent="0.3">
      <c r="A20" s="17" t="s">
        <v>32</v>
      </c>
      <c r="B20" s="18" t="s">
        <v>27</v>
      </c>
      <c r="C20" s="18">
        <v>937871</v>
      </c>
      <c r="D20" s="18">
        <v>2022</v>
      </c>
      <c r="E20" s="18" t="s">
        <v>65</v>
      </c>
      <c r="F20" s="18" t="s">
        <v>110</v>
      </c>
      <c r="G20" s="18" t="s">
        <v>195</v>
      </c>
      <c r="H20" s="18">
        <v>4</v>
      </c>
      <c r="I20" s="30">
        <v>3557</v>
      </c>
      <c r="J20" s="30">
        <f t="shared" si="3"/>
        <v>14228</v>
      </c>
      <c r="K20" s="30">
        <v>14228</v>
      </c>
      <c r="L20" s="8">
        <f t="shared" si="2"/>
        <v>0</v>
      </c>
      <c r="M20" s="47">
        <f t="shared" si="1"/>
        <v>0</v>
      </c>
    </row>
    <row r="21" spans="1:13" x14ac:dyDescent="0.3">
      <c r="A21" s="5" t="s">
        <v>32</v>
      </c>
      <c r="B21" s="6" t="s">
        <v>27</v>
      </c>
      <c r="C21" s="6">
        <v>937871</v>
      </c>
      <c r="D21" s="6">
        <v>2022</v>
      </c>
      <c r="E21" s="6" t="s">
        <v>65</v>
      </c>
      <c r="F21" s="18" t="s">
        <v>110</v>
      </c>
      <c r="G21" s="6" t="s">
        <v>196</v>
      </c>
      <c r="H21" s="6" t="s">
        <v>116</v>
      </c>
      <c r="I21" s="7">
        <v>51133.66</v>
      </c>
      <c r="J21" s="7">
        <v>51133.66</v>
      </c>
      <c r="K21" s="7"/>
      <c r="L21" s="8">
        <f t="shared" si="2"/>
        <v>51133.66</v>
      </c>
      <c r="M21" s="47">
        <f t="shared" si="1"/>
        <v>0</v>
      </c>
    </row>
    <row r="22" spans="1:13" x14ac:dyDescent="0.3">
      <c r="A22" s="17" t="s">
        <v>32</v>
      </c>
      <c r="B22" s="18" t="s">
        <v>27</v>
      </c>
      <c r="C22" s="18">
        <v>937871</v>
      </c>
      <c r="D22" s="18">
        <v>2022</v>
      </c>
      <c r="E22" s="18" t="s">
        <v>65</v>
      </c>
      <c r="F22" s="18" t="s">
        <v>110</v>
      </c>
      <c r="G22" s="18" t="s">
        <v>196</v>
      </c>
      <c r="H22" s="18" t="s">
        <v>116</v>
      </c>
      <c r="I22" s="30">
        <v>74366.42</v>
      </c>
      <c r="J22" s="30">
        <v>74366.42</v>
      </c>
      <c r="K22" s="30"/>
      <c r="L22" s="8">
        <f t="shared" si="2"/>
        <v>74366.42</v>
      </c>
      <c r="M22" s="47">
        <f t="shared" si="1"/>
        <v>0</v>
      </c>
    </row>
    <row r="23" spans="1:13" x14ac:dyDescent="0.3">
      <c r="A23" s="5" t="s">
        <v>32</v>
      </c>
      <c r="B23" s="6" t="s">
        <v>27</v>
      </c>
      <c r="C23" s="6">
        <v>937871</v>
      </c>
      <c r="D23" s="6">
        <v>2022</v>
      </c>
      <c r="E23" s="6" t="s">
        <v>66</v>
      </c>
      <c r="F23" s="18" t="s">
        <v>110</v>
      </c>
      <c r="G23" s="6" t="s">
        <v>197</v>
      </c>
      <c r="H23" s="6" t="s">
        <v>133</v>
      </c>
      <c r="I23" s="7">
        <v>105728.6</v>
      </c>
      <c r="J23" s="7">
        <v>211457.2</v>
      </c>
      <c r="K23" s="7">
        <v>211457.16</v>
      </c>
      <c r="L23" s="8">
        <f t="shared" si="2"/>
        <v>4.0000000008149073E-2</v>
      </c>
      <c r="M23" s="47">
        <f t="shared" si="1"/>
        <v>4.0000000008149073E-2</v>
      </c>
    </row>
    <row r="24" spans="1:13" x14ac:dyDescent="0.3">
      <c r="A24" s="17" t="s">
        <v>32</v>
      </c>
      <c r="B24" s="18" t="s">
        <v>27</v>
      </c>
      <c r="C24" s="18">
        <v>937871</v>
      </c>
      <c r="D24" s="18">
        <v>2022</v>
      </c>
      <c r="E24" s="18" t="s">
        <v>67</v>
      </c>
      <c r="F24" s="18" t="s">
        <v>110</v>
      </c>
      <c r="G24" s="18" t="s">
        <v>198</v>
      </c>
      <c r="H24" s="18" t="s">
        <v>116</v>
      </c>
      <c r="I24" s="30">
        <v>169118</v>
      </c>
      <c r="J24" s="30">
        <v>169118</v>
      </c>
      <c r="K24" s="30">
        <v>169118</v>
      </c>
      <c r="L24" s="8">
        <f t="shared" si="2"/>
        <v>0</v>
      </c>
      <c r="M24" s="47">
        <f t="shared" si="1"/>
        <v>0</v>
      </c>
    </row>
    <row r="25" spans="1:13" x14ac:dyDescent="0.3">
      <c r="A25" s="5" t="s">
        <v>32</v>
      </c>
      <c r="B25" s="6" t="s">
        <v>27</v>
      </c>
      <c r="C25" s="6">
        <v>937871</v>
      </c>
      <c r="D25" s="6">
        <v>2022</v>
      </c>
      <c r="E25" s="6" t="s">
        <v>67</v>
      </c>
      <c r="F25" s="18" t="s">
        <v>110</v>
      </c>
      <c r="G25" s="6" t="s">
        <v>199</v>
      </c>
      <c r="H25" s="6" t="s">
        <v>116</v>
      </c>
      <c r="I25" s="7">
        <v>19389.93</v>
      </c>
      <c r="J25" s="7">
        <v>19389.93</v>
      </c>
      <c r="K25" s="7"/>
      <c r="L25" s="8">
        <f t="shared" si="2"/>
        <v>19389.93</v>
      </c>
      <c r="M25" s="47">
        <f t="shared" si="1"/>
        <v>0</v>
      </c>
    </row>
    <row r="26" spans="1:13" x14ac:dyDescent="0.3">
      <c r="A26" s="17" t="s">
        <v>32</v>
      </c>
      <c r="B26" s="18" t="s">
        <v>27</v>
      </c>
      <c r="C26" s="18">
        <v>937871</v>
      </c>
      <c r="D26" s="18">
        <v>2022</v>
      </c>
      <c r="E26" s="18" t="s">
        <v>67</v>
      </c>
      <c r="F26" s="18" t="s">
        <v>110</v>
      </c>
      <c r="G26" s="18" t="s">
        <v>200</v>
      </c>
      <c r="H26" s="18" t="s">
        <v>126</v>
      </c>
      <c r="I26" s="30">
        <v>3631.25</v>
      </c>
      <c r="J26" s="30">
        <v>36312.5</v>
      </c>
      <c r="K26" s="30"/>
      <c r="L26" s="8">
        <f t="shared" si="2"/>
        <v>36312.5</v>
      </c>
      <c r="M26" s="47">
        <f t="shared" si="1"/>
        <v>0</v>
      </c>
    </row>
    <row r="27" spans="1:13" x14ac:dyDescent="0.3">
      <c r="A27" s="5"/>
      <c r="B27" s="6"/>
      <c r="C27" s="6"/>
      <c r="D27" s="6"/>
      <c r="E27" s="6"/>
      <c r="F27" s="6"/>
      <c r="G27" s="6"/>
      <c r="H27" s="6"/>
      <c r="I27" s="7"/>
      <c r="J27" s="7"/>
      <c r="K27" s="7"/>
      <c r="L27" s="8"/>
    </row>
    <row r="28" spans="1:13" x14ac:dyDescent="0.3">
      <c r="A28" s="17"/>
      <c r="B28" s="18"/>
      <c r="C28" s="18"/>
      <c r="D28" s="18"/>
      <c r="E28" s="18"/>
      <c r="F28" s="18"/>
      <c r="G28" s="18"/>
      <c r="H28" s="18"/>
      <c r="I28" s="30"/>
      <c r="J28" s="30"/>
      <c r="K28" s="30"/>
      <c r="L28" s="31"/>
    </row>
  </sheetData>
  <autoFilter ref="A1:M26" xr:uid="{B974C025-C5ED-4C0E-BA99-8AE531702F5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6102-51C5-4B3B-B3C5-84F08488457B}">
  <dimension ref="A1:M24"/>
  <sheetViews>
    <sheetView zoomScale="70" zoomScaleNormal="70" workbookViewId="0">
      <selection activeCell="E3" sqref="E3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9" t="s">
        <v>0</v>
      </c>
      <c r="B1" s="10" t="s">
        <v>1</v>
      </c>
      <c r="C1" s="10" t="s">
        <v>2</v>
      </c>
      <c r="D1" s="10" t="s">
        <v>3</v>
      </c>
      <c r="E1" s="27" t="s">
        <v>94</v>
      </c>
      <c r="F1" s="27" t="s">
        <v>95</v>
      </c>
      <c r="G1" s="27" t="s">
        <v>96</v>
      </c>
      <c r="H1" s="27" t="s">
        <v>97</v>
      </c>
      <c r="I1" s="28" t="s">
        <v>98</v>
      </c>
      <c r="J1" s="28" t="s">
        <v>99</v>
      </c>
      <c r="K1" s="28" t="s">
        <v>100</v>
      </c>
      <c r="L1" s="29" t="s">
        <v>101</v>
      </c>
      <c r="M1" s="46" t="s">
        <v>102</v>
      </c>
    </row>
    <row r="2" spans="1:13" x14ac:dyDescent="0.3">
      <c r="A2" s="17" t="s">
        <v>34</v>
      </c>
      <c r="B2" s="18" t="s">
        <v>27</v>
      </c>
      <c r="C2" s="18">
        <v>937592</v>
      </c>
      <c r="D2" s="18">
        <v>2022</v>
      </c>
      <c r="E2" s="18" t="s">
        <v>67</v>
      </c>
      <c r="F2" s="18" t="s">
        <v>103</v>
      </c>
      <c r="G2" s="18" t="s">
        <v>201</v>
      </c>
      <c r="H2" s="18" t="s">
        <v>116</v>
      </c>
      <c r="I2" s="30">
        <v>75075</v>
      </c>
      <c r="J2" s="30">
        <v>75075</v>
      </c>
      <c r="K2" s="30">
        <v>45900</v>
      </c>
      <c r="L2" s="31">
        <v>29175</v>
      </c>
      <c r="M2" s="47">
        <f>IF(E2="N/A", J2, IF(OR(K2=0, ISBLANK(K2), K2=""), 0, J2-K2))</f>
        <v>29175</v>
      </c>
    </row>
    <row r="3" spans="1:13" x14ac:dyDescent="0.3">
      <c r="A3" s="5" t="s">
        <v>34</v>
      </c>
      <c r="B3" s="6" t="s">
        <v>27</v>
      </c>
      <c r="C3" s="6">
        <v>937592</v>
      </c>
      <c r="D3" s="6">
        <v>2022</v>
      </c>
      <c r="E3" s="6" t="s">
        <v>65</v>
      </c>
      <c r="F3" s="6" t="s">
        <v>110</v>
      </c>
      <c r="G3" s="6" t="s">
        <v>202</v>
      </c>
      <c r="H3" s="6">
        <v>1</v>
      </c>
      <c r="I3" s="7">
        <v>3463.8</v>
      </c>
      <c r="J3" s="7">
        <v>3463.8</v>
      </c>
      <c r="K3" s="30">
        <v>3299.99</v>
      </c>
      <c r="L3" s="8">
        <v>163.81</v>
      </c>
      <c r="M3" s="47">
        <f>IF(E3="N/A", J3, IF(OR(K3=0, ISBLANK(K3), K3=""), 0, J3-K3))</f>
        <v>163.8100000000004</v>
      </c>
    </row>
    <row r="4" spans="1:13" x14ac:dyDescent="0.3">
      <c r="A4" s="17" t="s">
        <v>34</v>
      </c>
      <c r="B4" s="18" t="s">
        <v>27</v>
      </c>
      <c r="C4" s="18">
        <v>937592</v>
      </c>
      <c r="D4" s="18">
        <v>2022</v>
      </c>
      <c r="E4" s="18" t="s">
        <v>67</v>
      </c>
      <c r="F4" s="6" t="s">
        <v>110</v>
      </c>
      <c r="G4" s="18" t="s">
        <v>203</v>
      </c>
      <c r="H4" s="18" t="s">
        <v>133</v>
      </c>
      <c r="I4" s="30">
        <v>2018.32</v>
      </c>
      <c r="J4" s="30">
        <v>4036.64</v>
      </c>
      <c r="K4" s="30">
        <v>3840</v>
      </c>
      <c r="L4" s="31">
        <v>196.64</v>
      </c>
      <c r="M4" s="47">
        <f t="shared" ref="M4:M18" si="0">IF(E4="N/A", J4, IF(OR(K4=0, ISBLANK(K4), K4=""), 0, J4-K4))</f>
        <v>196.63999999999987</v>
      </c>
    </row>
    <row r="5" spans="1:13" x14ac:dyDescent="0.3">
      <c r="A5" s="5" t="s">
        <v>34</v>
      </c>
      <c r="B5" s="6" t="s">
        <v>27</v>
      </c>
      <c r="C5" s="6">
        <v>937592</v>
      </c>
      <c r="D5" s="6">
        <v>2022</v>
      </c>
      <c r="E5" s="6" t="s">
        <v>67</v>
      </c>
      <c r="F5" s="6" t="s">
        <v>110</v>
      </c>
      <c r="G5" s="6" t="s">
        <v>204</v>
      </c>
      <c r="H5" s="6" t="s">
        <v>133</v>
      </c>
      <c r="I5" s="7">
        <v>3790</v>
      </c>
      <c r="J5" s="7">
        <v>7580</v>
      </c>
      <c r="K5" s="7">
        <v>7580</v>
      </c>
      <c r="L5" s="8">
        <v>0</v>
      </c>
      <c r="M5" s="47">
        <f t="shared" si="0"/>
        <v>0</v>
      </c>
    </row>
    <row r="6" spans="1:13" x14ac:dyDescent="0.3">
      <c r="A6" s="17" t="s">
        <v>34</v>
      </c>
      <c r="B6" s="18" t="s">
        <v>27</v>
      </c>
      <c r="C6" s="18">
        <v>937592</v>
      </c>
      <c r="D6" s="18">
        <v>2022</v>
      </c>
      <c r="E6" s="18" t="s">
        <v>67</v>
      </c>
      <c r="F6" s="6" t="s">
        <v>110</v>
      </c>
      <c r="G6" s="18" t="s">
        <v>205</v>
      </c>
      <c r="H6" s="18" t="s">
        <v>185</v>
      </c>
      <c r="I6" s="30">
        <v>5493.81</v>
      </c>
      <c r="J6" s="30">
        <v>109876.1</v>
      </c>
      <c r="K6" s="30">
        <v>79999.8</v>
      </c>
      <c r="L6" s="31">
        <v>29876.3</v>
      </c>
      <c r="M6" s="47">
        <f t="shared" si="0"/>
        <v>29876.300000000003</v>
      </c>
    </row>
    <row r="7" spans="1:13" x14ac:dyDescent="0.3">
      <c r="A7" s="5" t="s">
        <v>34</v>
      </c>
      <c r="B7" s="6" t="s">
        <v>27</v>
      </c>
      <c r="C7" s="6">
        <v>937592</v>
      </c>
      <c r="D7" s="6">
        <v>2022</v>
      </c>
      <c r="E7" s="6" t="s">
        <v>65</v>
      </c>
      <c r="F7" s="6" t="s">
        <v>110</v>
      </c>
      <c r="G7" s="6" t="s">
        <v>206</v>
      </c>
      <c r="H7" s="6" t="s">
        <v>167</v>
      </c>
      <c r="I7" s="7">
        <v>5540.11</v>
      </c>
      <c r="J7" s="7">
        <v>33240.660000000003</v>
      </c>
      <c r="K7" s="7">
        <v>27900</v>
      </c>
      <c r="L7" s="8">
        <v>5340.66</v>
      </c>
      <c r="M7" s="47">
        <f t="shared" si="0"/>
        <v>5340.6600000000035</v>
      </c>
    </row>
    <row r="8" spans="1:13" x14ac:dyDescent="0.3">
      <c r="A8" s="17" t="s">
        <v>34</v>
      </c>
      <c r="B8" s="18" t="s">
        <v>27</v>
      </c>
      <c r="C8" s="18">
        <v>937592</v>
      </c>
      <c r="D8" s="18">
        <v>2022</v>
      </c>
      <c r="E8" s="18" t="s">
        <v>67</v>
      </c>
      <c r="F8" s="6" t="s">
        <v>110</v>
      </c>
      <c r="G8" s="18" t="s">
        <v>207</v>
      </c>
      <c r="H8" s="18" t="s">
        <v>208</v>
      </c>
      <c r="I8" s="30">
        <v>600</v>
      </c>
      <c r="J8" s="30">
        <v>21600</v>
      </c>
      <c r="K8" s="30">
        <v>21600</v>
      </c>
      <c r="L8" s="31">
        <v>0</v>
      </c>
      <c r="M8" s="47">
        <f t="shared" si="0"/>
        <v>0</v>
      </c>
    </row>
    <row r="9" spans="1:13" x14ac:dyDescent="0.3">
      <c r="A9" s="5" t="s">
        <v>34</v>
      </c>
      <c r="B9" s="6" t="s">
        <v>27</v>
      </c>
      <c r="C9" s="6">
        <v>937592</v>
      </c>
      <c r="D9" s="6">
        <v>2022</v>
      </c>
      <c r="E9" s="6" t="s">
        <v>65</v>
      </c>
      <c r="F9" s="6" t="s">
        <v>110</v>
      </c>
      <c r="G9" s="6" t="s">
        <v>209</v>
      </c>
      <c r="H9" s="6">
        <v>4</v>
      </c>
      <c r="I9" s="7">
        <v>343.13</v>
      </c>
      <c r="J9" s="7">
        <f>AM!$H9*AM!$I9</f>
        <v>1372.52</v>
      </c>
      <c r="K9" s="7">
        <v>1200</v>
      </c>
      <c r="L9" s="8">
        <f>AM!$J9-AM!$K9</f>
        <v>172.51999999999998</v>
      </c>
      <c r="M9" s="47">
        <f t="shared" si="0"/>
        <v>172.51999999999998</v>
      </c>
    </row>
    <row r="10" spans="1:13" x14ac:dyDescent="0.3">
      <c r="A10" s="17" t="s">
        <v>34</v>
      </c>
      <c r="B10" s="18" t="s">
        <v>27</v>
      </c>
      <c r="C10" s="18">
        <v>937592</v>
      </c>
      <c r="D10" s="18">
        <v>2022</v>
      </c>
      <c r="E10" s="18" t="s">
        <v>65</v>
      </c>
      <c r="F10" s="6" t="s">
        <v>110</v>
      </c>
      <c r="G10" s="18" t="s">
        <v>210</v>
      </c>
      <c r="H10" s="18">
        <v>7</v>
      </c>
      <c r="I10" s="30">
        <v>798.8</v>
      </c>
      <c r="J10" s="30">
        <f>AM!$H10*AM!$I10</f>
        <v>5591.5999999999995</v>
      </c>
      <c r="K10" s="30">
        <v>4060</v>
      </c>
      <c r="L10" s="31">
        <f>AM!$J10-AM!$K10</f>
        <v>1531.5999999999995</v>
      </c>
      <c r="M10" s="47">
        <f t="shared" si="0"/>
        <v>1531.5999999999995</v>
      </c>
    </row>
    <row r="11" spans="1:13" x14ac:dyDescent="0.3">
      <c r="A11" s="5" t="s">
        <v>34</v>
      </c>
      <c r="B11" s="6" t="s">
        <v>27</v>
      </c>
      <c r="C11" s="6">
        <v>937592</v>
      </c>
      <c r="D11" s="6">
        <v>2022</v>
      </c>
      <c r="E11" s="6" t="s">
        <v>65</v>
      </c>
      <c r="F11" s="6" t="s">
        <v>110</v>
      </c>
      <c r="G11" s="6" t="s">
        <v>211</v>
      </c>
      <c r="H11" s="6" t="s">
        <v>212</v>
      </c>
      <c r="I11" s="7">
        <v>1076.9000000000001</v>
      </c>
      <c r="J11" s="7">
        <v>8615.2000000000007</v>
      </c>
      <c r="K11" s="7">
        <v>5280</v>
      </c>
      <c r="L11" s="8">
        <v>3335.2</v>
      </c>
      <c r="M11" s="47">
        <f t="shared" si="0"/>
        <v>3335.2000000000007</v>
      </c>
    </row>
    <row r="12" spans="1:13" x14ac:dyDescent="0.3">
      <c r="A12" s="17" t="s">
        <v>34</v>
      </c>
      <c r="B12" s="18" t="s">
        <v>27</v>
      </c>
      <c r="C12" s="18">
        <v>937592</v>
      </c>
      <c r="D12" s="18">
        <v>2022</v>
      </c>
      <c r="E12" s="18" t="s">
        <v>66</v>
      </c>
      <c r="F12" s="6" t="s">
        <v>110</v>
      </c>
      <c r="G12" s="18" t="s">
        <v>202</v>
      </c>
      <c r="H12" s="18">
        <v>1</v>
      </c>
      <c r="I12" s="30">
        <v>3463.8</v>
      </c>
      <c r="J12" s="30">
        <v>3463.8</v>
      </c>
      <c r="K12" s="30">
        <v>3299.99</v>
      </c>
      <c r="L12" s="31">
        <v>163.81</v>
      </c>
      <c r="M12" s="47">
        <f t="shared" si="0"/>
        <v>163.8100000000004</v>
      </c>
    </row>
    <row r="13" spans="1:13" x14ac:dyDescent="0.3">
      <c r="A13" s="5" t="s">
        <v>34</v>
      </c>
      <c r="B13" s="6" t="s">
        <v>27</v>
      </c>
      <c r="C13" s="6">
        <v>937592</v>
      </c>
      <c r="D13" s="6">
        <v>2022</v>
      </c>
      <c r="E13" s="6" t="s">
        <v>66</v>
      </c>
      <c r="F13" s="6" t="s">
        <v>110</v>
      </c>
      <c r="G13" s="6" t="s">
        <v>210</v>
      </c>
      <c r="H13" s="6">
        <v>7</v>
      </c>
      <c r="I13" s="7">
        <v>798.8</v>
      </c>
      <c r="J13" s="7">
        <f>AM!$H13*AM!$I13</f>
        <v>5591.5999999999995</v>
      </c>
      <c r="K13" s="7">
        <v>4060</v>
      </c>
      <c r="L13" s="8">
        <f>AM!$J13-AM!$K13</f>
        <v>1531.5999999999995</v>
      </c>
      <c r="M13" s="47">
        <f t="shared" si="0"/>
        <v>1531.5999999999995</v>
      </c>
    </row>
    <row r="14" spans="1:13" x14ac:dyDescent="0.3">
      <c r="A14" s="17" t="s">
        <v>34</v>
      </c>
      <c r="B14" s="18" t="s">
        <v>27</v>
      </c>
      <c r="C14" s="18">
        <v>937592</v>
      </c>
      <c r="D14" s="18">
        <v>2022</v>
      </c>
      <c r="E14" s="18" t="s">
        <v>67</v>
      </c>
      <c r="F14" s="6" t="s">
        <v>110</v>
      </c>
      <c r="G14" s="18" t="s">
        <v>210</v>
      </c>
      <c r="H14" s="18">
        <v>6</v>
      </c>
      <c r="I14" s="30">
        <v>798.8</v>
      </c>
      <c r="J14" s="30">
        <f>AM!$H14*AM!$I14</f>
        <v>4792.7999999999993</v>
      </c>
      <c r="K14" s="30">
        <v>3480</v>
      </c>
      <c r="L14" s="31">
        <f>AM!$J14-AM!$K14</f>
        <v>1312.7999999999993</v>
      </c>
      <c r="M14" s="47">
        <f t="shared" si="0"/>
        <v>1312.7999999999993</v>
      </c>
    </row>
    <row r="15" spans="1:13" x14ac:dyDescent="0.3">
      <c r="A15" s="5" t="s">
        <v>34</v>
      </c>
      <c r="B15" s="6" t="s">
        <v>27</v>
      </c>
      <c r="C15" s="6">
        <v>937592</v>
      </c>
      <c r="D15" s="6">
        <v>2022</v>
      </c>
      <c r="E15" s="6" t="s">
        <v>66</v>
      </c>
      <c r="F15" s="6" t="s">
        <v>110</v>
      </c>
      <c r="G15" s="6" t="s">
        <v>209</v>
      </c>
      <c r="H15" s="6">
        <v>4</v>
      </c>
      <c r="I15" s="7">
        <v>343.13</v>
      </c>
      <c r="J15" s="7">
        <f>AM!$H15*AM!$I15</f>
        <v>1372.52</v>
      </c>
      <c r="K15" s="7">
        <v>1200</v>
      </c>
      <c r="L15" s="8">
        <f>AM!$J15-AM!$K15</f>
        <v>172.51999999999998</v>
      </c>
      <c r="M15" s="47">
        <f t="shared" si="0"/>
        <v>172.51999999999998</v>
      </c>
    </row>
    <row r="16" spans="1:13" x14ac:dyDescent="0.3">
      <c r="A16" s="17" t="s">
        <v>34</v>
      </c>
      <c r="B16" s="18" t="s">
        <v>27</v>
      </c>
      <c r="C16" s="18">
        <v>937592</v>
      </c>
      <c r="D16" s="18">
        <v>2022</v>
      </c>
      <c r="E16" s="18" t="s">
        <v>65</v>
      </c>
      <c r="F16" s="6" t="s">
        <v>110</v>
      </c>
      <c r="G16" s="18" t="s">
        <v>213</v>
      </c>
      <c r="H16" s="18">
        <v>10</v>
      </c>
      <c r="I16" s="30">
        <v>522.41999999999996</v>
      </c>
      <c r="J16" s="30">
        <f>AM!$H16*AM!$I16</f>
        <v>5224.2</v>
      </c>
      <c r="K16" s="30">
        <v>4000</v>
      </c>
      <c r="L16" s="31">
        <f>AM!$J16-AM!$K16</f>
        <v>1224.1999999999998</v>
      </c>
      <c r="M16" s="47">
        <f t="shared" si="0"/>
        <v>1224.1999999999998</v>
      </c>
    </row>
    <row r="17" spans="1:13" x14ac:dyDescent="0.3">
      <c r="A17" s="5" t="s">
        <v>34</v>
      </c>
      <c r="B17" s="6" t="s">
        <v>27</v>
      </c>
      <c r="C17" s="6">
        <v>937592</v>
      </c>
      <c r="D17" s="6">
        <v>2022</v>
      </c>
      <c r="E17" s="6" t="s">
        <v>66</v>
      </c>
      <c r="F17" s="6" t="s">
        <v>110</v>
      </c>
      <c r="G17" s="6" t="s">
        <v>213</v>
      </c>
      <c r="H17" s="6">
        <v>9</v>
      </c>
      <c r="I17" s="7">
        <v>522.41999999999996</v>
      </c>
      <c r="J17" s="7">
        <f>AM!$H17*AM!$I17</f>
        <v>4701.78</v>
      </c>
      <c r="K17" s="7">
        <v>3600</v>
      </c>
      <c r="L17" s="8">
        <f>AM!$J17-AM!$K17</f>
        <v>1101.7799999999997</v>
      </c>
      <c r="M17" s="47">
        <f t="shared" si="0"/>
        <v>1101.7799999999997</v>
      </c>
    </row>
    <row r="18" spans="1:13" x14ac:dyDescent="0.3">
      <c r="A18" s="17" t="s">
        <v>34</v>
      </c>
      <c r="B18" s="18" t="s">
        <v>27</v>
      </c>
      <c r="C18" s="18">
        <v>937592</v>
      </c>
      <c r="D18" s="18">
        <v>2022</v>
      </c>
      <c r="E18" s="18" t="s">
        <v>67</v>
      </c>
      <c r="F18" s="6" t="s">
        <v>110</v>
      </c>
      <c r="G18" s="18" t="s">
        <v>213</v>
      </c>
      <c r="H18" s="18">
        <v>9</v>
      </c>
      <c r="I18" s="30">
        <v>522.41999999999996</v>
      </c>
      <c r="J18" s="30">
        <f>AM!$H18*AM!$I18</f>
        <v>4701.78</v>
      </c>
      <c r="K18" s="30">
        <v>3600</v>
      </c>
      <c r="L18" s="31">
        <f>AM!$J18-AM!$K18</f>
        <v>1101.7799999999997</v>
      </c>
      <c r="M18" s="47">
        <f t="shared" si="0"/>
        <v>1101.7799999999997</v>
      </c>
    </row>
    <row r="19" spans="1:13" x14ac:dyDescent="0.3">
      <c r="A19" s="5"/>
      <c r="B19" s="6"/>
      <c r="C19" s="6"/>
      <c r="D19" s="6"/>
      <c r="E19" s="6"/>
      <c r="F19" s="6"/>
      <c r="G19" s="6"/>
      <c r="H19" s="6"/>
      <c r="I19" s="7"/>
      <c r="J19" s="7"/>
      <c r="K19" s="7"/>
      <c r="L19" s="8"/>
    </row>
    <row r="20" spans="1:13" x14ac:dyDescent="0.3">
      <c r="A20" s="17"/>
      <c r="B20" s="18"/>
      <c r="C20" s="18"/>
      <c r="D20" s="18"/>
      <c r="E20" s="18"/>
      <c r="F20" s="18"/>
      <c r="G20" s="18"/>
      <c r="H20" s="18"/>
      <c r="I20" s="30"/>
      <c r="J20" s="30"/>
      <c r="K20" s="30"/>
      <c r="L20" s="31"/>
    </row>
    <row r="21" spans="1:13" x14ac:dyDescent="0.3">
      <c r="A21" s="5"/>
      <c r="B21" s="6"/>
      <c r="C21" s="6"/>
      <c r="D21" s="6"/>
      <c r="E21" s="6"/>
      <c r="F21" s="6"/>
      <c r="G21" s="6"/>
      <c r="H21" s="6"/>
      <c r="I21" s="7"/>
      <c r="J21" s="7"/>
      <c r="K21" s="7"/>
      <c r="L21" s="8"/>
    </row>
    <row r="22" spans="1:13" x14ac:dyDescent="0.3">
      <c r="A22" s="17"/>
      <c r="B22" s="18"/>
      <c r="C22" s="18"/>
      <c r="D22" s="18"/>
      <c r="E22" s="18"/>
      <c r="F22" s="18"/>
      <c r="G22" s="18"/>
      <c r="H22" s="18"/>
      <c r="I22" s="30"/>
      <c r="J22" s="30"/>
      <c r="K22" s="30"/>
      <c r="L22" s="31"/>
    </row>
    <row r="23" spans="1:13" x14ac:dyDescent="0.3">
      <c r="A23" s="5"/>
      <c r="B23" s="6"/>
      <c r="C23" s="6"/>
      <c r="D23" s="6"/>
      <c r="E23" s="6"/>
      <c r="F23" s="6"/>
      <c r="G23" s="6"/>
      <c r="H23" s="6"/>
      <c r="I23" s="7"/>
      <c r="J23" s="7"/>
      <c r="K23" s="7"/>
      <c r="L23" s="8"/>
    </row>
    <row r="24" spans="1:13" x14ac:dyDescent="0.3">
      <c r="A24" s="17"/>
      <c r="B24" s="18"/>
      <c r="C24" s="18"/>
      <c r="D24" s="18"/>
      <c r="E24" s="18"/>
      <c r="F24" s="18"/>
      <c r="G24" s="18"/>
      <c r="H24" s="18"/>
      <c r="I24" s="30"/>
      <c r="J24" s="30"/>
      <c r="K24" s="30"/>
      <c r="L24" s="31"/>
    </row>
  </sheetData>
  <autoFilter ref="A1:M18" xr:uid="{4F726102-51C5-4B3B-B3C5-84F08488457B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8443-0A8A-4CC5-B51E-2EE000BEE000}">
  <dimension ref="A1:M51"/>
  <sheetViews>
    <sheetView zoomScale="70" zoomScaleNormal="70" workbookViewId="0">
      <selection sqref="A1:M1048576"/>
    </sheetView>
  </sheetViews>
  <sheetFormatPr defaultRowHeight="15.6" x14ac:dyDescent="0.3"/>
  <cols>
    <col min="1" max="1" width="9" bestFit="1" customWidth="1"/>
    <col min="2" max="2" width="18.8984375" bestFit="1" customWidth="1"/>
    <col min="3" max="3" width="14.3984375" bestFit="1" customWidth="1"/>
    <col min="4" max="4" width="10.59765625" bestFit="1" customWidth="1"/>
    <col min="5" max="5" width="14.19921875" bestFit="1" customWidth="1"/>
    <col min="6" max="6" width="15.59765625" bestFit="1" customWidth="1"/>
    <col min="7" max="7" width="43.8984375" style="1" bestFit="1" customWidth="1"/>
    <col min="8" max="8" width="18.09765625" bestFit="1" customWidth="1"/>
    <col min="9" max="9" width="22.19921875" bestFit="1" customWidth="1"/>
    <col min="10" max="10" width="27.69921875" bestFit="1" customWidth="1"/>
    <col min="11" max="11" width="30" style="85" bestFit="1" customWidth="1"/>
    <col min="12" max="12" width="15.59765625" style="43" bestFit="1" customWidth="1"/>
    <col min="13" max="13" width="21.3984375" bestFit="1" customWidth="1"/>
  </cols>
  <sheetData>
    <row r="1" spans="1:13" ht="46.8" x14ac:dyDescent="0.3">
      <c r="A1" s="9" t="s">
        <v>0</v>
      </c>
      <c r="B1" s="10" t="s">
        <v>1</v>
      </c>
      <c r="C1" s="10" t="s">
        <v>2</v>
      </c>
      <c r="D1" s="10" t="s">
        <v>3</v>
      </c>
      <c r="E1" s="27" t="s">
        <v>94</v>
      </c>
      <c r="F1" s="27" t="s">
        <v>95</v>
      </c>
      <c r="G1" s="27" t="s">
        <v>96</v>
      </c>
      <c r="H1" s="27" t="s">
        <v>97</v>
      </c>
      <c r="I1" s="28" t="s">
        <v>98</v>
      </c>
      <c r="J1" s="28" t="s">
        <v>99</v>
      </c>
      <c r="K1" s="28" t="s">
        <v>100</v>
      </c>
      <c r="L1" s="44" t="s">
        <v>101</v>
      </c>
      <c r="M1" s="46" t="s">
        <v>102</v>
      </c>
    </row>
    <row r="2" spans="1:13" x14ac:dyDescent="0.3">
      <c r="A2" s="17" t="s">
        <v>37</v>
      </c>
      <c r="B2" s="18" t="s">
        <v>27</v>
      </c>
      <c r="C2" s="18">
        <v>937782</v>
      </c>
      <c r="D2" s="18">
        <v>2022</v>
      </c>
      <c r="E2" s="18" t="s">
        <v>65</v>
      </c>
      <c r="F2" s="18" t="s">
        <v>103</v>
      </c>
      <c r="G2" s="18" t="s">
        <v>219</v>
      </c>
      <c r="H2" s="18">
        <v>1</v>
      </c>
      <c r="I2" s="30">
        <v>11400</v>
      </c>
      <c r="J2" s="30">
        <f t="shared" ref="J2:J5" si="0">H2*I2</f>
        <v>11400</v>
      </c>
      <c r="K2" s="30">
        <v>11400</v>
      </c>
      <c r="L2" s="45">
        <f t="shared" ref="L2:L5" si="1">J2-K2</f>
        <v>0</v>
      </c>
      <c r="M2" s="47">
        <f>IF(E2="N/A", J2, IF(OR(K2=0, ISBLANK(K2), K2=""), 0, J2-K2))</f>
        <v>0</v>
      </c>
    </row>
    <row r="3" spans="1:13" x14ac:dyDescent="0.3">
      <c r="A3" s="5" t="s">
        <v>37</v>
      </c>
      <c r="B3" s="6" t="s">
        <v>27</v>
      </c>
      <c r="C3" s="6">
        <v>937782</v>
      </c>
      <c r="D3" s="6">
        <v>2022</v>
      </c>
      <c r="E3" s="6" t="s">
        <v>66</v>
      </c>
      <c r="F3" s="18" t="s">
        <v>103</v>
      </c>
      <c r="G3" s="6" t="s">
        <v>220</v>
      </c>
      <c r="H3" s="6">
        <v>1</v>
      </c>
      <c r="I3" s="7">
        <v>11400</v>
      </c>
      <c r="J3" s="30">
        <f t="shared" si="0"/>
        <v>11400</v>
      </c>
      <c r="K3" s="7">
        <v>11400</v>
      </c>
      <c r="L3" s="45">
        <f t="shared" si="1"/>
        <v>0</v>
      </c>
      <c r="M3" s="47">
        <f t="shared" ref="M3:M51" si="2">IF(E3="N/A", J3, IF(OR(K3=0, ISBLANK(K3), K3=""), 0, J3-K3))</f>
        <v>0</v>
      </c>
    </row>
    <row r="4" spans="1:13" x14ac:dyDescent="0.3">
      <c r="A4" s="17" t="s">
        <v>37</v>
      </c>
      <c r="B4" s="18" t="s">
        <v>27</v>
      </c>
      <c r="C4" s="18">
        <v>937782</v>
      </c>
      <c r="D4" s="18">
        <v>2022</v>
      </c>
      <c r="E4" s="18" t="s">
        <v>67</v>
      </c>
      <c r="F4" s="18" t="s">
        <v>103</v>
      </c>
      <c r="G4" s="18" t="s">
        <v>221</v>
      </c>
      <c r="H4" s="18">
        <v>1</v>
      </c>
      <c r="I4" s="30">
        <v>14700</v>
      </c>
      <c r="J4" s="30">
        <f t="shared" si="0"/>
        <v>14700</v>
      </c>
      <c r="K4" s="30"/>
      <c r="L4" s="45">
        <f t="shared" si="1"/>
        <v>14700</v>
      </c>
      <c r="M4" s="47">
        <f t="shared" si="2"/>
        <v>0</v>
      </c>
    </row>
    <row r="5" spans="1:13" x14ac:dyDescent="0.3">
      <c r="A5" s="5" t="s">
        <v>37</v>
      </c>
      <c r="B5" s="6" t="s">
        <v>27</v>
      </c>
      <c r="C5" s="6">
        <v>937782</v>
      </c>
      <c r="D5" s="6">
        <v>2022</v>
      </c>
      <c r="E5" s="6" t="s">
        <v>65</v>
      </c>
      <c r="F5" s="6" t="s">
        <v>110</v>
      </c>
      <c r="G5" s="15" t="s">
        <v>222</v>
      </c>
      <c r="H5" s="6">
        <v>6</v>
      </c>
      <c r="I5" s="7">
        <v>699.99</v>
      </c>
      <c r="J5" s="30">
        <f t="shared" si="0"/>
        <v>4199.9400000000005</v>
      </c>
      <c r="K5" s="7">
        <v>4199.9399999999996</v>
      </c>
      <c r="L5" s="45">
        <f t="shared" si="1"/>
        <v>0</v>
      </c>
      <c r="M5" s="47">
        <f t="shared" si="2"/>
        <v>9.0949470177292824E-13</v>
      </c>
    </row>
    <row r="6" spans="1:13" x14ac:dyDescent="0.3">
      <c r="A6" s="17" t="s">
        <v>37</v>
      </c>
      <c r="B6" s="18" t="s">
        <v>27</v>
      </c>
      <c r="C6" s="18">
        <v>937782</v>
      </c>
      <c r="D6" s="18">
        <v>2022</v>
      </c>
      <c r="E6" s="18" t="s">
        <v>65</v>
      </c>
      <c r="F6" s="6" t="s">
        <v>110</v>
      </c>
      <c r="G6" s="12" t="s">
        <v>223</v>
      </c>
      <c r="H6" s="18">
        <v>15</v>
      </c>
      <c r="I6" s="30">
        <v>251.25</v>
      </c>
      <c r="J6" s="30">
        <f>H6*I6</f>
        <v>3768.75</v>
      </c>
      <c r="K6" s="30">
        <v>1169.6099999999999</v>
      </c>
      <c r="L6" s="45">
        <f>J6-K6</f>
        <v>2599.1400000000003</v>
      </c>
      <c r="M6" s="47">
        <f t="shared" si="2"/>
        <v>2599.1400000000003</v>
      </c>
    </row>
    <row r="7" spans="1:13" x14ac:dyDescent="0.3">
      <c r="A7" s="5" t="s">
        <v>37</v>
      </c>
      <c r="B7" s="6" t="s">
        <v>27</v>
      </c>
      <c r="C7" s="6">
        <v>937782</v>
      </c>
      <c r="D7" s="6">
        <v>2022</v>
      </c>
      <c r="E7" s="6" t="s">
        <v>66</v>
      </c>
      <c r="F7" s="6" t="s">
        <v>110</v>
      </c>
      <c r="G7" s="15" t="s">
        <v>223</v>
      </c>
      <c r="H7" s="6">
        <v>14</v>
      </c>
      <c r="I7" s="7">
        <v>251.25</v>
      </c>
      <c r="J7" s="30">
        <f t="shared" ref="J7:J51" si="3">H7*I7</f>
        <v>3517.5</v>
      </c>
      <c r="K7" s="7">
        <v>1091.6400000000001</v>
      </c>
      <c r="L7" s="45">
        <f t="shared" ref="L7:L51" si="4">J7-K7</f>
        <v>2425.8599999999997</v>
      </c>
      <c r="M7" s="47">
        <f t="shared" si="2"/>
        <v>2425.8599999999997</v>
      </c>
    </row>
    <row r="8" spans="1:13" x14ac:dyDescent="0.3">
      <c r="A8" s="17" t="s">
        <v>37</v>
      </c>
      <c r="B8" s="18" t="s">
        <v>27</v>
      </c>
      <c r="C8" s="18">
        <v>937782</v>
      </c>
      <c r="D8" s="18">
        <v>2022</v>
      </c>
      <c r="E8" s="18" t="s">
        <v>65</v>
      </c>
      <c r="F8" s="6" t="s">
        <v>110</v>
      </c>
      <c r="G8" s="12" t="s">
        <v>224</v>
      </c>
      <c r="H8" s="18">
        <v>1</v>
      </c>
      <c r="I8" s="30">
        <v>6552.67</v>
      </c>
      <c r="J8" s="30">
        <f t="shared" si="3"/>
        <v>6552.67</v>
      </c>
      <c r="K8" s="30">
        <v>6040.9</v>
      </c>
      <c r="L8" s="45">
        <f t="shared" si="4"/>
        <v>511.77000000000044</v>
      </c>
      <c r="M8" s="47">
        <f t="shared" si="2"/>
        <v>511.77000000000044</v>
      </c>
    </row>
    <row r="9" spans="1:13" x14ac:dyDescent="0.3">
      <c r="A9" s="5" t="s">
        <v>37</v>
      </c>
      <c r="B9" s="6" t="s">
        <v>27</v>
      </c>
      <c r="C9" s="6">
        <v>937782</v>
      </c>
      <c r="D9" s="6">
        <v>2022</v>
      </c>
      <c r="E9" s="6" t="s">
        <v>66</v>
      </c>
      <c r="F9" s="6" t="s">
        <v>110</v>
      </c>
      <c r="G9" s="15" t="s">
        <v>224</v>
      </c>
      <c r="H9" s="6">
        <v>1</v>
      </c>
      <c r="I9" s="7">
        <v>6552.67</v>
      </c>
      <c r="J9" s="30">
        <f t="shared" si="3"/>
        <v>6552.67</v>
      </c>
      <c r="K9" s="7">
        <v>6040.9</v>
      </c>
      <c r="L9" s="45">
        <f t="shared" si="4"/>
        <v>511.77000000000044</v>
      </c>
      <c r="M9" s="47">
        <f t="shared" si="2"/>
        <v>511.77000000000044</v>
      </c>
    </row>
    <row r="10" spans="1:13" x14ac:dyDescent="0.3">
      <c r="A10" s="17" t="s">
        <v>37</v>
      </c>
      <c r="B10" s="18" t="s">
        <v>27</v>
      </c>
      <c r="C10" s="18">
        <v>937782</v>
      </c>
      <c r="D10" s="18">
        <v>2022</v>
      </c>
      <c r="E10" s="18" t="s">
        <v>65</v>
      </c>
      <c r="F10" s="6" t="s">
        <v>110</v>
      </c>
      <c r="G10" s="12" t="s">
        <v>225</v>
      </c>
      <c r="H10" s="18">
        <v>2</v>
      </c>
      <c r="I10" s="30">
        <v>547.5</v>
      </c>
      <c r="J10" s="30">
        <f t="shared" si="3"/>
        <v>1095</v>
      </c>
      <c r="K10" s="30"/>
      <c r="L10" s="45">
        <f t="shared" si="4"/>
        <v>1095</v>
      </c>
      <c r="M10" s="47">
        <f t="shared" si="2"/>
        <v>0</v>
      </c>
    </row>
    <row r="11" spans="1:13" x14ac:dyDescent="0.3">
      <c r="A11" s="5" t="s">
        <v>37</v>
      </c>
      <c r="B11" s="6" t="s">
        <v>27</v>
      </c>
      <c r="C11" s="6">
        <v>937782</v>
      </c>
      <c r="D11" s="6">
        <v>2022</v>
      </c>
      <c r="E11" s="6" t="s">
        <v>66</v>
      </c>
      <c r="F11" s="6" t="s">
        <v>110</v>
      </c>
      <c r="G11" s="15" t="s">
        <v>225</v>
      </c>
      <c r="H11" s="6">
        <v>2</v>
      </c>
      <c r="I11" s="7">
        <v>547.5</v>
      </c>
      <c r="J11" s="30">
        <f t="shared" si="3"/>
        <v>1095</v>
      </c>
      <c r="K11" s="7"/>
      <c r="L11" s="45">
        <f t="shared" si="4"/>
        <v>1095</v>
      </c>
      <c r="M11" s="47">
        <f t="shared" si="2"/>
        <v>0</v>
      </c>
    </row>
    <row r="12" spans="1:13" x14ac:dyDescent="0.3">
      <c r="A12" s="17" t="s">
        <v>37</v>
      </c>
      <c r="B12" s="18" t="s">
        <v>27</v>
      </c>
      <c r="C12" s="18">
        <v>937782</v>
      </c>
      <c r="D12" s="18">
        <v>2022</v>
      </c>
      <c r="E12" s="18" t="s">
        <v>67</v>
      </c>
      <c r="F12" s="6" t="s">
        <v>110</v>
      </c>
      <c r="G12" s="12" t="s">
        <v>226</v>
      </c>
      <c r="H12" s="18">
        <v>1</v>
      </c>
      <c r="I12" s="30">
        <v>14849</v>
      </c>
      <c r="J12" s="30">
        <f t="shared" si="3"/>
        <v>14849</v>
      </c>
      <c r="K12" s="30"/>
      <c r="L12" s="45">
        <f t="shared" si="4"/>
        <v>14849</v>
      </c>
      <c r="M12" s="47">
        <f t="shared" si="2"/>
        <v>0</v>
      </c>
    </row>
    <row r="13" spans="1:13" x14ac:dyDescent="0.3">
      <c r="A13" s="5" t="s">
        <v>37</v>
      </c>
      <c r="B13" s="6" t="s">
        <v>27</v>
      </c>
      <c r="C13" s="6">
        <v>937782</v>
      </c>
      <c r="D13" s="6">
        <v>2022</v>
      </c>
      <c r="E13" s="6" t="s">
        <v>67</v>
      </c>
      <c r="F13" s="6" t="s">
        <v>110</v>
      </c>
      <c r="G13" s="15" t="s">
        <v>227</v>
      </c>
      <c r="H13" s="6">
        <v>2</v>
      </c>
      <c r="I13" s="7">
        <v>638.25</v>
      </c>
      <c r="J13" s="30">
        <f t="shared" si="3"/>
        <v>1276.5</v>
      </c>
      <c r="K13" s="7">
        <v>1276.5</v>
      </c>
      <c r="L13" s="45">
        <f t="shared" si="4"/>
        <v>0</v>
      </c>
      <c r="M13" s="47">
        <f t="shared" si="2"/>
        <v>0</v>
      </c>
    </row>
    <row r="14" spans="1:13" x14ac:dyDescent="0.3">
      <c r="A14" s="17" t="s">
        <v>37</v>
      </c>
      <c r="B14" s="18" t="s">
        <v>27</v>
      </c>
      <c r="C14" s="18">
        <v>937782</v>
      </c>
      <c r="D14" s="18">
        <v>2022</v>
      </c>
      <c r="E14" s="18" t="s">
        <v>67</v>
      </c>
      <c r="F14" s="6" t="s">
        <v>110</v>
      </c>
      <c r="G14" s="12" t="s">
        <v>228</v>
      </c>
      <c r="H14" s="18">
        <v>2</v>
      </c>
      <c r="I14" s="30">
        <v>1611.06</v>
      </c>
      <c r="J14" s="30">
        <f t="shared" si="3"/>
        <v>3222.12</v>
      </c>
      <c r="K14" s="30"/>
      <c r="L14" s="45">
        <f t="shared" si="4"/>
        <v>3222.12</v>
      </c>
      <c r="M14" s="47">
        <f t="shared" si="2"/>
        <v>0</v>
      </c>
    </row>
    <row r="15" spans="1:13" x14ac:dyDescent="0.3">
      <c r="A15" s="5" t="s">
        <v>37</v>
      </c>
      <c r="B15" s="6" t="s">
        <v>27</v>
      </c>
      <c r="C15" s="6">
        <v>937782</v>
      </c>
      <c r="D15" s="6">
        <v>2022</v>
      </c>
      <c r="E15" s="6" t="s">
        <v>65</v>
      </c>
      <c r="F15" s="6" t="s">
        <v>110</v>
      </c>
      <c r="G15" s="15" t="s">
        <v>229</v>
      </c>
      <c r="H15" s="6">
        <v>1</v>
      </c>
      <c r="I15" s="7">
        <v>2250</v>
      </c>
      <c r="J15" s="30">
        <f t="shared" si="3"/>
        <v>2250</v>
      </c>
      <c r="K15" s="7">
        <v>2250</v>
      </c>
      <c r="L15" s="45">
        <f t="shared" si="4"/>
        <v>0</v>
      </c>
      <c r="M15" s="47">
        <f t="shared" si="2"/>
        <v>0</v>
      </c>
    </row>
    <row r="16" spans="1:13" x14ac:dyDescent="0.3">
      <c r="A16" s="17" t="s">
        <v>37</v>
      </c>
      <c r="B16" s="18" t="s">
        <v>27</v>
      </c>
      <c r="C16" s="18">
        <v>937782</v>
      </c>
      <c r="D16" s="18">
        <v>2022</v>
      </c>
      <c r="E16" s="18" t="s">
        <v>66</v>
      </c>
      <c r="F16" s="6" t="s">
        <v>110</v>
      </c>
      <c r="G16" s="12" t="s">
        <v>229</v>
      </c>
      <c r="H16" s="18">
        <v>1</v>
      </c>
      <c r="I16" s="30">
        <v>2250</v>
      </c>
      <c r="J16" s="30">
        <f t="shared" si="3"/>
        <v>2250</v>
      </c>
      <c r="K16" s="30">
        <v>2250</v>
      </c>
      <c r="L16" s="45">
        <f t="shared" si="4"/>
        <v>0</v>
      </c>
      <c r="M16" s="47">
        <f t="shared" si="2"/>
        <v>0</v>
      </c>
    </row>
    <row r="17" spans="1:13" x14ac:dyDescent="0.3">
      <c r="A17" s="5" t="s">
        <v>37</v>
      </c>
      <c r="B17" s="6" t="s">
        <v>27</v>
      </c>
      <c r="C17" s="6">
        <v>937782</v>
      </c>
      <c r="D17" s="6">
        <v>2022</v>
      </c>
      <c r="E17" s="6" t="s">
        <v>67</v>
      </c>
      <c r="F17" s="6" t="s">
        <v>110</v>
      </c>
      <c r="G17" s="15" t="s">
        <v>229</v>
      </c>
      <c r="H17" s="6">
        <v>2</v>
      </c>
      <c r="I17" s="7">
        <v>2250</v>
      </c>
      <c r="J17" s="30">
        <f t="shared" si="3"/>
        <v>4500</v>
      </c>
      <c r="K17" s="7">
        <v>4500</v>
      </c>
      <c r="L17" s="45">
        <f t="shared" si="4"/>
        <v>0</v>
      </c>
      <c r="M17" s="47">
        <f t="shared" si="2"/>
        <v>0</v>
      </c>
    </row>
    <row r="18" spans="1:13" x14ac:dyDescent="0.3">
      <c r="A18" s="17" t="s">
        <v>37</v>
      </c>
      <c r="B18" s="18" t="s">
        <v>27</v>
      </c>
      <c r="C18" s="18">
        <v>937782</v>
      </c>
      <c r="D18" s="18">
        <v>2022</v>
      </c>
      <c r="E18" s="18" t="s">
        <v>65</v>
      </c>
      <c r="F18" s="6" t="s">
        <v>110</v>
      </c>
      <c r="G18" s="12" t="s">
        <v>230</v>
      </c>
      <c r="H18" s="18">
        <v>1</v>
      </c>
      <c r="I18" s="30">
        <v>489.65</v>
      </c>
      <c r="J18" s="30">
        <f t="shared" si="3"/>
        <v>489.65</v>
      </c>
      <c r="K18" s="30">
        <v>489.65</v>
      </c>
      <c r="L18" s="45">
        <f t="shared" si="4"/>
        <v>0</v>
      </c>
      <c r="M18" s="47">
        <f t="shared" si="2"/>
        <v>0</v>
      </c>
    </row>
    <row r="19" spans="1:13" x14ac:dyDescent="0.3">
      <c r="A19" s="5" t="s">
        <v>37</v>
      </c>
      <c r="B19" s="6" t="s">
        <v>27</v>
      </c>
      <c r="C19" s="6">
        <v>937782</v>
      </c>
      <c r="D19" s="6">
        <v>2022</v>
      </c>
      <c r="E19" s="6" t="s">
        <v>66</v>
      </c>
      <c r="F19" s="6" t="s">
        <v>110</v>
      </c>
      <c r="G19" s="15" t="s">
        <v>230</v>
      </c>
      <c r="H19" s="6">
        <v>1</v>
      </c>
      <c r="I19" s="30">
        <v>489.65</v>
      </c>
      <c r="J19" s="30">
        <f t="shared" si="3"/>
        <v>489.65</v>
      </c>
      <c r="K19" s="7">
        <v>489.65</v>
      </c>
      <c r="L19" s="45">
        <f t="shared" si="4"/>
        <v>0</v>
      </c>
      <c r="M19" s="47">
        <f t="shared" si="2"/>
        <v>0</v>
      </c>
    </row>
    <row r="20" spans="1:13" x14ac:dyDescent="0.3">
      <c r="A20" s="17" t="s">
        <v>37</v>
      </c>
      <c r="B20" s="18" t="s">
        <v>27</v>
      </c>
      <c r="C20" s="18">
        <v>937782</v>
      </c>
      <c r="D20" s="18">
        <v>2022</v>
      </c>
      <c r="E20" s="18" t="s">
        <v>67</v>
      </c>
      <c r="F20" s="6" t="s">
        <v>110</v>
      </c>
      <c r="G20" s="12" t="s">
        <v>230</v>
      </c>
      <c r="H20" s="18">
        <v>2</v>
      </c>
      <c r="I20" s="30">
        <v>489.65</v>
      </c>
      <c r="J20" s="30">
        <f t="shared" si="3"/>
        <v>979.3</v>
      </c>
      <c r="K20" s="30">
        <v>979.3</v>
      </c>
      <c r="L20" s="45">
        <f t="shared" si="4"/>
        <v>0</v>
      </c>
      <c r="M20" s="47">
        <f t="shared" si="2"/>
        <v>0</v>
      </c>
    </row>
    <row r="21" spans="1:13" x14ac:dyDescent="0.3">
      <c r="A21" s="5" t="s">
        <v>37</v>
      </c>
      <c r="B21" s="6" t="s">
        <v>27</v>
      </c>
      <c r="C21" s="6">
        <v>937782</v>
      </c>
      <c r="D21" s="6">
        <v>2022</v>
      </c>
      <c r="E21" s="6" t="s">
        <v>67</v>
      </c>
      <c r="F21" s="6" t="s">
        <v>110</v>
      </c>
      <c r="G21" s="15" t="s">
        <v>231</v>
      </c>
      <c r="H21" s="6">
        <v>4</v>
      </c>
      <c r="I21" s="7">
        <v>373.02</v>
      </c>
      <c r="J21" s="30">
        <f t="shared" si="3"/>
        <v>1492.08</v>
      </c>
      <c r="K21" s="7">
        <v>1492.08</v>
      </c>
      <c r="L21" s="45">
        <f t="shared" si="4"/>
        <v>0</v>
      </c>
      <c r="M21" s="47">
        <f t="shared" si="2"/>
        <v>0</v>
      </c>
    </row>
    <row r="22" spans="1:13" x14ac:dyDescent="0.3">
      <c r="A22" s="17" t="s">
        <v>37</v>
      </c>
      <c r="B22" s="18" t="s">
        <v>27</v>
      </c>
      <c r="C22" s="18">
        <v>937782</v>
      </c>
      <c r="D22" s="18">
        <v>2022</v>
      </c>
      <c r="E22" s="18" t="s">
        <v>67</v>
      </c>
      <c r="F22" s="6" t="s">
        <v>110</v>
      </c>
      <c r="G22" s="12" t="s">
        <v>232</v>
      </c>
      <c r="H22" s="18">
        <v>1</v>
      </c>
      <c r="I22" s="30">
        <v>5000</v>
      </c>
      <c r="J22" s="30">
        <f t="shared" si="3"/>
        <v>5000</v>
      </c>
      <c r="K22" s="30">
        <v>5000</v>
      </c>
      <c r="L22" s="45">
        <f t="shared" si="4"/>
        <v>0</v>
      </c>
      <c r="M22" s="47">
        <f t="shared" si="2"/>
        <v>0</v>
      </c>
    </row>
    <row r="23" spans="1:13" x14ac:dyDescent="0.3">
      <c r="A23" s="5" t="s">
        <v>37</v>
      </c>
      <c r="B23" s="6" t="s">
        <v>27</v>
      </c>
      <c r="C23" s="6">
        <v>937782</v>
      </c>
      <c r="D23" s="6">
        <v>2022</v>
      </c>
      <c r="E23" s="6" t="s">
        <v>65</v>
      </c>
      <c r="F23" s="6" t="s">
        <v>110</v>
      </c>
      <c r="G23" s="15" t="s">
        <v>233</v>
      </c>
      <c r="H23" s="6">
        <v>1</v>
      </c>
      <c r="I23" s="7">
        <v>2699.95</v>
      </c>
      <c r="J23" s="30">
        <f t="shared" si="3"/>
        <v>2699.95</v>
      </c>
      <c r="K23" s="7">
        <v>2338.89</v>
      </c>
      <c r="L23" s="45">
        <f t="shared" si="4"/>
        <v>361.05999999999995</v>
      </c>
      <c r="M23" s="47">
        <f t="shared" si="2"/>
        <v>361.05999999999995</v>
      </c>
    </row>
    <row r="24" spans="1:13" x14ac:dyDescent="0.3">
      <c r="A24" s="5" t="s">
        <v>37</v>
      </c>
      <c r="B24" s="6" t="s">
        <v>27</v>
      </c>
      <c r="C24" s="6">
        <v>937782</v>
      </c>
      <c r="D24" s="6">
        <v>2022</v>
      </c>
      <c r="E24" s="6" t="s">
        <v>66</v>
      </c>
      <c r="F24" s="6" t="s">
        <v>110</v>
      </c>
      <c r="G24" s="15" t="s">
        <v>233</v>
      </c>
      <c r="H24" s="6">
        <v>1</v>
      </c>
      <c r="I24" s="7">
        <v>2699.95</v>
      </c>
      <c r="J24" s="30">
        <f t="shared" si="3"/>
        <v>2699.95</v>
      </c>
      <c r="K24" s="7">
        <v>2338.89</v>
      </c>
      <c r="L24" s="45">
        <f t="shared" si="4"/>
        <v>361.05999999999995</v>
      </c>
      <c r="M24" s="47">
        <f t="shared" si="2"/>
        <v>361.05999999999995</v>
      </c>
    </row>
    <row r="25" spans="1:13" x14ac:dyDescent="0.3">
      <c r="A25" s="17" t="s">
        <v>37</v>
      </c>
      <c r="B25" s="18" t="s">
        <v>27</v>
      </c>
      <c r="C25" s="18">
        <v>937782</v>
      </c>
      <c r="D25" s="18">
        <v>2022</v>
      </c>
      <c r="E25" s="18" t="s">
        <v>65</v>
      </c>
      <c r="F25" s="6" t="s">
        <v>110</v>
      </c>
      <c r="G25" s="12" t="s">
        <v>234</v>
      </c>
      <c r="H25" s="18">
        <v>2</v>
      </c>
      <c r="I25" s="30">
        <v>349.75</v>
      </c>
      <c r="J25" s="30">
        <f t="shared" si="3"/>
        <v>699.5</v>
      </c>
      <c r="K25" s="30">
        <v>699.5</v>
      </c>
      <c r="L25" s="45">
        <f t="shared" si="4"/>
        <v>0</v>
      </c>
      <c r="M25" s="47">
        <f t="shared" si="2"/>
        <v>0</v>
      </c>
    </row>
    <row r="26" spans="1:13" x14ac:dyDescent="0.3">
      <c r="A26" s="5" t="s">
        <v>37</v>
      </c>
      <c r="B26" s="6" t="s">
        <v>27</v>
      </c>
      <c r="C26" s="6">
        <v>937782</v>
      </c>
      <c r="D26" s="6">
        <v>2022</v>
      </c>
      <c r="E26" s="6" t="s">
        <v>66</v>
      </c>
      <c r="F26" s="6" t="s">
        <v>110</v>
      </c>
      <c r="G26" s="15" t="s">
        <v>234</v>
      </c>
      <c r="H26" s="6">
        <v>2</v>
      </c>
      <c r="I26" s="30">
        <v>349.75</v>
      </c>
      <c r="J26" s="30">
        <f t="shared" si="3"/>
        <v>699.5</v>
      </c>
      <c r="K26" s="7">
        <v>699.5</v>
      </c>
      <c r="L26" s="45">
        <f t="shared" si="4"/>
        <v>0</v>
      </c>
      <c r="M26" s="47">
        <f t="shared" si="2"/>
        <v>0</v>
      </c>
    </row>
    <row r="27" spans="1:13" x14ac:dyDescent="0.3">
      <c r="A27" s="17" t="s">
        <v>37</v>
      </c>
      <c r="B27" s="18" t="s">
        <v>27</v>
      </c>
      <c r="C27" s="18">
        <v>937782</v>
      </c>
      <c r="D27" s="18">
        <v>2022</v>
      </c>
      <c r="E27" s="18" t="s">
        <v>67</v>
      </c>
      <c r="F27" s="6" t="s">
        <v>110</v>
      </c>
      <c r="G27" s="12" t="s">
        <v>234</v>
      </c>
      <c r="H27" s="18">
        <v>2</v>
      </c>
      <c r="I27" s="30">
        <v>349.75</v>
      </c>
      <c r="J27" s="30">
        <f t="shared" si="3"/>
        <v>699.5</v>
      </c>
      <c r="K27" s="30">
        <v>699.5</v>
      </c>
      <c r="L27" s="45">
        <f t="shared" si="4"/>
        <v>0</v>
      </c>
      <c r="M27" s="47">
        <f t="shared" si="2"/>
        <v>0</v>
      </c>
    </row>
    <row r="28" spans="1:13" x14ac:dyDescent="0.3">
      <c r="A28" s="5" t="s">
        <v>37</v>
      </c>
      <c r="B28" s="6" t="s">
        <v>27</v>
      </c>
      <c r="C28" s="6">
        <v>937782</v>
      </c>
      <c r="D28" s="6">
        <v>2022</v>
      </c>
      <c r="E28" s="6" t="s">
        <v>65</v>
      </c>
      <c r="F28" s="6" t="s">
        <v>110</v>
      </c>
      <c r="G28" s="15" t="s">
        <v>235</v>
      </c>
      <c r="H28" s="6">
        <v>4</v>
      </c>
      <c r="I28" s="7">
        <v>736.33</v>
      </c>
      <c r="J28" s="30">
        <f t="shared" si="3"/>
        <v>2945.32</v>
      </c>
      <c r="K28" s="7">
        <v>2945.32</v>
      </c>
      <c r="L28" s="45">
        <f t="shared" si="4"/>
        <v>0</v>
      </c>
      <c r="M28" s="47">
        <f t="shared" si="2"/>
        <v>0</v>
      </c>
    </row>
    <row r="29" spans="1:13" x14ac:dyDescent="0.3">
      <c r="A29" s="17" t="s">
        <v>37</v>
      </c>
      <c r="B29" s="18" t="s">
        <v>27</v>
      </c>
      <c r="C29" s="18">
        <v>937782</v>
      </c>
      <c r="D29" s="18">
        <v>2022</v>
      </c>
      <c r="E29" s="18" t="s">
        <v>66</v>
      </c>
      <c r="F29" s="6" t="s">
        <v>110</v>
      </c>
      <c r="G29" s="12" t="s">
        <v>235</v>
      </c>
      <c r="H29" s="18">
        <v>4</v>
      </c>
      <c r="I29" s="7">
        <v>736.33</v>
      </c>
      <c r="J29" s="30">
        <f t="shared" si="3"/>
        <v>2945.32</v>
      </c>
      <c r="K29" s="30">
        <v>2945.32</v>
      </c>
      <c r="L29" s="45">
        <f t="shared" si="4"/>
        <v>0</v>
      </c>
      <c r="M29" s="47">
        <f t="shared" si="2"/>
        <v>0</v>
      </c>
    </row>
    <row r="30" spans="1:13" x14ac:dyDescent="0.3">
      <c r="A30" s="5" t="s">
        <v>37</v>
      </c>
      <c r="B30" s="6" t="s">
        <v>27</v>
      </c>
      <c r="C30" s="6">
        <v>937782</v>
      </c>
      <c r="D30" s="6">
        <v>2022</v>
      </c>
      <c r="E30" s="6" t="s">
        <v>67</v>
      </c>
      <c r="F30" s="6" t="s">
        <v>110</v>
      </c>
      <c r="G30" s="15" t="s">
        <v>235</v>
      </c>
      <c r="H30" s="6">
        <v>2</v>
      </c>
      <c r="I30" s="7">
        <v>736.33</v>
      </c>
      <c r="J30" s="30">
        <f t="shared" si="3"/>
        <v>1472.66</v>
      </c>
      <c r="K30" s="7">
        <v>1472.66</v>
      </c>
      <c r="L30" s="45">
        <f t="shared" si="4"/>
        <v>0</v>
      </c>
      <c r="M30" s="47">
        <f t="shared" si="2"/>
        <v>0</v>
      </c>
    </row>
    <row r="31" spans="1:13" x14ac:dyDescent="0.3">
      <c r="A31" s="17" t="s">
        <v>37</v>
      </c>
      <c r="B31" s="18" t="s">
        <v>27</v>
      </c>
      <c r="C31" s="18">
        <v>937782</v>
      </c>
      <c r="D31" s="18">
        <v>2022</v>
      </c>
      <c r="E31" s="18" t="s">
        <v>65</v>
      </c>
      <c r="F31" s="6" t="s">
        <v>110</v>
      </c>
      <c r="G31" s="12" t="s">
        <v>236</v>
      </c>
      <c r="H31" s="18">
        <v>12</v>
      </c>
      <c r="I31" s="30">
        <v>700</v>
      </c>
      <c r="J31" s="30">
        <f t="shared" si="3"/>
        <v>8400</v>
      </c>
      <c r="K31" s="30">
        <v>0</v>
      </c>
      <c r="L31" s="45">
        <f t="shared" si="4"/>
        <v>8400</v>
      </c>
      <c r="M31" s="47">
        <f t="shared" si="2"/>
        <v>0</v>
      </c>
    </row>
    <row r="32" spans="1:13" x14ac:dyDescent="0.3">
      <c r="A32" s="5" t="s">
        <v>37</v>
      </c>
      <c r="B32" s="6" t="s">
        <v>27</v>
      </c>
      <c r="C32" s="6">
        <v>937782</v>
      </c>
      <c r="D32" s="6">
        <v>2022</v>
      </c>
      <c r="E32" s="6" t="s">
        <v>66</v>
      </c>
      <c r="F32" s="6" t="s">
        <v>110</v>
      </c>
      <c r="G32" s="15" t="s">
        <v>237</v>
      </c>
      <c r="H32" s="6">
        <v>4</v>
      </c>
      <c r="I32" s="7">
        <v>700</v>
      </c>
      <c r="J32" s="30">
        <f t="shared" si="3"/>
        <v>2800</v>
      </c>
      <c r="K32" s="7">
        <v>2800</v>
      </c>
      <c r="L32" s="45">
        <f t="shared" si="4"/>
        <v>0</v>
      </c>
      <c r="M32" s="47">
        <f t="shared" si="2"/>
        <v>0</v>
      </c>
    </row>
    <row r="33" spans="1:13" x14ac:dyDescent="0.3">
      <c r="A33" s="17" t="s">
        <v>37</v>
      </c>
      <c r="B33" s="18" t="s">
        <v>27</v>
      </c>
      <c r="C33" s="18">
        <v>937782</v>
      </c>
      <c r="D33" s="18">
        <v>2022</v>
      </c>
      <c r="E33" s="18" t="s">
        <v>65</v>
      </c>
      <c r="F33" s="6" t="s">
        <v>110</v>
      </c>
      <c r="G33" s="12" t="s">
        <v>238</v>
      </c>
      <c r="H33" s="18">
        <v>1</v>
      </c>
      <c r="I33" s="30">
        <v>3599.99</v>
      </c>
      <c r="J33" s="30">
        <f t="shared" si="3"/>
        <v>3599.99</v>
      </c>
      <c r="K33" s="30">
        <v>3114.93</v>
      </c>
      <c r="L33" s="45">
        <f t="shared" si="4"/>
        <v>485.05999999999995</v>
      </c>
      <c r="M33" s="47">
        <f t="shared" si="2"/>
        <v>485.05999999999995</v>
      </c>
    </row>
    <row r="34" spans="1:13" x14ac:dyDescent="0.3">
      <c r="A34" s="5" t="s">
        <v>37</v>
      </c>
      <c r="B34" s="6" t="s">
        <v>27</v>
      </c>
      <c r="C34" s="6">
        <v>937782</v>
      </c>
      <c r="D34" s="6">
        <v>2022</v>
      </c>
      <c r="E34" s="6" t="s">
        <v>66</v>
      </c>
      <c r="F34" s="6" t="s">
        <v>110</v>
      </c>
      <c r="G34" s="15" t="s">
        <v>238</v>
      </c>
      <c r="H34" s="6">
        <v>1</v>
      </c>
      <c r="I34" s="7">
        <v>3599.99</v>
      </c>
      <c r="J34" s="30">
        <f t="shared" si="3"/>
        <v>3599.99</v>
      </c>
      <c r="K34" s="7">
        <v>3114.93</v>
      </c>
      <c r="L34" s="45">
        <f t="shared" si="4"/>
        <v>485.05999999999995</v>
      </c>
      <c r="M34" s="47">
        <f t="shared" si="2"/>
        <v>485.05999999999995</v>
      </c>
    </row>
    <row r="35" spans="1:13" x14ac:dyDescent="0.3">
      <c r="A35" s="17" t="s">
        <v>37</v>
      </c>
      <c r="B35" s="18" t="s">
        <v>27</v>
      </c>
      <c r="C35" s="18">
        <v>937782</v>
      </c>
      <c r="D35" s="18">
        <v>2022</v>
      </c>
      <c r="E35" s="18" t="s">
        <v>134</v>
      </c>
      <c r="F35" s="6" t="s">
        <v>110</v>
      </c>
      <c r="G35" s="12" t="s">
        <v>239</v>
      </c>
      <c r="H35" s="18">
        <v>1</v>
      </c>
      <c r="I35" s="30">
        <v>9.84</v>
      </c>
      <c r="J35" s="30">
        <f t="shared" si="3"/>
        <v>9.84</v>
      </c>
      <c r="K35" s="30">
        <v>0</v>
      </c>
      <c r="L35" s="45">
        <f t="shared" si="4"/>
        <v>9.84</v>
      </c>
      <c r="M35" s="47">
        <f t="shared" si="2"/>
        <v>9.84</v>
      </c>
    </row>
    <row r="36" spans="1:13" x14ac:dyDescent="0.3">
      <c r="A36" s="5" t="s">
        <v>37</v>
      </c>
      <c r="B36" s="6" t="s">
        <v>27</v>
      </c>
      <c r="C36" s="6">
        <v>937782</v>
      </c>
      <c r="D36" s="6">
        <v>2022</v>
      </c>
      <c r="E36" s="6" t="s">
        <v>65</v>
      </c>
      <c r="F36" s="6" t="s">
        <v>110</v>
      </c>
      <c r="G36" s="15" t="s">
        <v>240</v>
      </c>
      <c r="H36" s="6">
        <v>1</v>
      </c>
      <c r="I36" s="7">
        <v>2341.2399999999998</v>
      </c>
      <c r="J36" s="30">
        <f t="shared" si="3"/>
        <v>2341.2399999999998</v>
      </c>
      <c r="K36" s="7">
        <v>950</v>
      </c>
      <c r="L36" s="45">
        <f t="shared" si="4"/>
        <v>1391.2399999999998</v>
      </c>
      <c r="M36" s="47">
        <f t="shared" si="2"/>
        <v>1391.2399999999998</v>
      </c>
    </row>
    <row r="37" spans="1:13" x14ac:dyDescent="0.3">
      <c r="A37" s="5" t="s">
        <v>37</v>
      </c>
      <c r="B37" s="6" t="s">
        <v>27</v>
      </c>
      <c r="C37" s="6">
        <v>937782</v>
      </c>
      <c r="D37" s="6">
        <v>2022</v>
      </c>
      <c r="E37" s="6" t="s">
        <v>66</v>
      </c>
      <c r="F37" s="6" t="s">
        <v>110</v>
      </c>
      <c r="G37" s="15" t="s">
        <v>240</v>
      </c>
      <c r="H37" s="6">
        <v>1</v>
      </c>
      <c r="I37" s="7">
        <v>2341.2399999999998</v>
      </c>
      <c r="J37" s="30">
        <f t="shared" si="3"/>
        <v>2341.2399999999998</v>
      </c>
      <c r="K37" s="7">
        <v>950</v>
      </c>
      <c r="L37" s="45">
        <f t="shared" si="4"/>
        <v>1391.2399999999998</v>
      </c>
      <c r="M37" s="47">
        <f t="shared" si="2"/>
        <v>1391.2399999999998</v>
      </c>
    </row>
    <row r="38" spans="1:13" x14ac:dyDescent="0.3">
      <c r="A38" s="17" t="s">
        <v>37</v>
      </c>
      <c r="B38" s="18" t="s">
        <v>27</v>
      </c>
      <c r="C38" s="18">
        <v>937782</v>
      </c>
      <c r="D38" s="18">
        <v>2022</v>
      </c>
      <c r="E38" s="18" t="s">
        <v>67</v>
      </c>
      <c r="F38" s="6" t="s">
        <v>110</v>
      </c>
      <c r="G38" s="12" t="s">
        <v>241</v>
      </c>
      <c r="H38" s="18">
        <v>2</v>
      </c>
      <c r="I38" s="30">
        <v>3901</v>
      </c>
      <c r="J38" s="30">
        <f t="shared" si="3"/>
        <v>7802</v>
      </c>
      <c r="K38" s="30">
        <v>7802</v>
      </c>
      <c r="L38" s="45">
        <f t="shared" si="4"/>
        <v>0</v>
      </c>
      <c r="M38" s="47">
        <f t="shared" si="2"/>
        <v>0</v>
      </c>
    </row>
    <row r="39" spans="1:13" x14ac:dyDescent="0.3">
      <c r="A39" s="5" t="s">
        <v>37</v>
      </c>
      <c r="B39" s="6" t="s">
        <v>27</v>
      </c>
      <c r="C39" s="6">
        <v>937782</v>
      </c>
      <c r="D39" s="6">
        <v>2022</v>
      </c>
      <c r="E39" s="6" t="s">
        <v>67</v>
      </c>
      <c r="F39" s="6" t="s">
        <v>110</v>
      </c>
      <c r="G39" s="15" t="s">
        <v>242</v>
      </c>
      <c r="H39" s="6">
        <v>2</v>
      </c>
      <c r="I39" s="7">
        <v>1079.97</v>
      </c>
      <c r="J39" s="30">
        <f t="shared" si="3"/>
        <v>2159.94</v>
      </c>
      <c r="K39" s="7">
        <v>0</v>
      </c>
      <c r="L39" s="45">
        <f t="shared" si="4"/>
        <v>2159.94</v>
      </c>
      <c r="M39" s="47">
        <f t="shared" si="2"/>
        <v>0</v>
      </c>
    </row>
    <row r="40" spans="1:13" x14ac:dyDescent="0.3">
      <c r="A40" s="17" t="s">
        <v>37</v>
      </c>
      <c r="B40" s="18" t="s">
        <v>27</v>
      </c>
      <c r="C40" s="18">
        <v>937782</v>
      </c>
      <c r="D40" s="18">
        <v>2022</v>
      </c>
      <c r="E40" s="18" t="s">
        <v>67</v>
      </c>
      <c r="F40" s="6" t="s">
        <v>110</v>
      </c>
      <c r="G40" s="12" t="s">
        <v>243</v>
      </c>
      <c r="H40" s="18">
        <v>2</v>
      </c>
      <c r="I40" s="30">
        <v>199</v>
      </c>
      <c r="J40" s="30">
        <f t="shared" si="3"/>
        <v>398</v>
      </c>
      <c r="K40" s="30">
        <v>0</v>
      </c>
      <c r="L40" s="45">
        <f t="shared" si="4"/>
        <v>398</v>
      </c>
      <c r="M40" s="47">
        <f t="shared" si="2"/>
        <v>0</v>
      </c>
    </row>
    <row r="41" spans="1:13" x14ac:dyDescent="0.3">
      <c r="A41" s="5" t="s">
        <v>37</v>
      </c>
      <c r="B41" s="6" t="s">
        <v>27</v>
      </c>
      <c r="C41" s="6">
        <v>937782</v>
      </c>
      <c r="D41" s="6">
        <v>2022</v>
      </c>
      <c r="E41" s="6" t="s">
        <v>66</v>
      </c>
      <c r="F41" s="6" t="s">
        <v>110</v>
      </c>
      <c r="G41" s="15" t="s">
        <v>222</v>
      </c>
      <c r="H41" s="6">
        <v>6</v>
      </c>
      <c r="I41" s="152">
        <v>699.99</v>
      </c>
      <c r="J41" s="30">
        <f t="shared" si="3"/>
        <v>4199.9400000000005</v>
      </c>
      <c r="K41" s="7">
        <v>4199.9399999999996</v>
      </c>
      <c r="L41" s="45">
        <f t="shared" si="4"/>
        <v>0</v>
      </c>
      <c r="M41" s="47">
        <f t="shared" si="2"/>
        <v>9.0949470177292824E-13</v>
      </c>
    </row>
    <row r="42" spans="1:13" x14ac:dyDescent="0.3">
      <c r="A42" s="5" t="s">
        <v>37</v>
      </c>
      <c r="B42" s="6" t="s">
        <v>27</v>
      </c>
      <c r="C42" s="6">
        <v>937782</v>
      </c>
      <c r="D42" s="6">
        <v>2022</v>
      </c>
      <c r="E42" s="6" t="s">
        <v>65</v>
      </c>
      <c r="F42" s="18" t="s">
        <v>103</v>
      </c>
      <c r="G42" s="150" t="s">
        <v>642</v>
      </c>
      <c r="H42" s="150">
        <v>12</v>
      </c>
      <c r="I42" s="47">
        <v>14400</v>
      </c>
      <c r="J42" s="151">
        <f t="shared" si="3"/>
        <v>172800</v>
      </c>
      <c r="K42" s="85">
        <v>0</v>
      </c>
      <c r="L42" s="45">
        <f t="shared" si="4"/>
        <v>172800</v>
      </c>
      <c r="M42" s="47">
        <f t="shared" si="2"/>
        <v>0</v>
      </c>
    </row>
    <row r="43" spans="1:13" x14ac:dyDescent="0.3">
      <c r="A43" s="5" t="s">
        <v>37</v>
      </c>
      <c r="B43" s="6" t="s">
        <v>27</v>
      </c>
      <c r="C43" s="6">
        <v>937782</v>
      </c>
      <c r="D43" s="6">
        <v>2022</v>
      </c>
      <c r="E43" s="6" t="s">
        <v>65</v>
      </c>
      <c r="F43" s="18" t="s">
        <v>103</v>
      </c>
      <c r="G43" s="2" t="s">
        <v>643</v>
      </c>
      <c r="H43" s="2">
        <v>12</v>
      </c>
      <c r="I43" s="47">
        <v>1200</v>
      </c>
      <c r="J43" s="151">
        <f t="shared" si="3"/>
        <v>14400</v>
      </c>
      <c r="K43" s="85">
        <v>0</v>
      </c>
      <c r="L43" s="45">
        <f t="shared" si="4"/>
        <v>14400</v>
      </c>
      <c r="M43" s="47">
        <f t="shared" si="2"/>
        <v>0</v>
      </c>
    </row>
    <row r="44" spans="1:13" x14ac:dyDescent="0.3">
      <c r="A44" s="5" t="s">
        <v>37</v>
      </c>
      <c r="B44" s="6" t="s">
        <v>27</v>
      </c>
      <c r="C44" s="6">
        <v>937782</v>
      </c>
      <c r="D44" s="6">
        <v>2022</v>
      </c>
      <c r="E44" s="6" t="s">
        <v>65</v>
      </c>
      <c r="F44" s="18" t="s">
        <v>103</v>
      </c>
      <c r="G44" s="150" t="s">
        <v>644</v>
      </c>
      <c r="H44" s="150">
        <v>3</v>
      </c>
      <c r="I44" s="47">
        <v>1500</v>
      </c>
      <c r="J44" s="151">
        <f t="shared" si="3"/>
        <v>4500</v>
      </c>
      <c r="K44" s="85">
        <v>0</v>
      </c>
      <c r="L44" s="45">
        <f t="shared" si="4"/>
        <v>4500</v>
      </c>
      <c r="M44" s="47">
        <f t="shared" si="2"/>
        <v>0</v>
      </c>
    </row>
    <row r="45" spans="1:13" x14ac:dyDescent="0.3">
      <c r="A45" s="5" t="s">
        <v>37</v>
      </c>
      <c r="B45" s="6" t="s">
        <v>27</v>
      </c>
      <c r="C45" s="6">
        <v>937782</v>
      </c>
      <c r="D45" s="6">
        <v>2022</v>
      </c>
      <c r="E45" s="2" t="s">
        <v>67</v>
      </c>
      <c r="F45" s="6" t="s">
        <v>110</v>
      </c>
      <c r="G45" s="153" t="s">
        <v>645</v>
      </c>
      <c r="H45" s="150">
        <v>1</v>
      </c>
      <c r="I45" s="47">
        <v>2850</v>
      </c>
      <c r="J45" s="30">
        <f t="shared" si="3"/>
        <v>2850</v>
      </c>
      <c r="K45" s="85">
        <v>0</v>
      </c>
      <c r="L45" s="43">
        <f t="shared" si="4"/>
        <v>2850</v>
      </c>
      <c r="M45" s="47">
        <f t="shared" si="2"/>
        <v>0</v>
      </c>
    </row>
    <row r="46" spans="1:13" x14ac:dyDescent="0.3">
      <c r="A46" s="5" t="s">
        <v>37</v>
      </c>
      <c r="B46" s="6" t="s">
        <v>27</v>
      </c>
      <c r="C46" s="6">
        <v>937782</v>
      </c>
      <c r="D46" s="6">
        <v>2022</v>
      </c>
      <c r="E46" s="2" t="s">
        <v>67</v>
      </c>
      <c r="F46" s="6" t="s">
        <v>110</v>
      </c>
      <c r="G46" s="1" t="s">
        <v>646</v>
      </c>
      <c r="H46" s="2">
        <v>2</v>
      </c>
      <c r="I46" s="47">
        <v>2800</v>
      </c>
      <c r="J46" s="30">
        <f t="shared" si="3"/>
        <v>5600</v>
      </c>
      <c r="K46" s="85">
        <v>0</v>
      </c>
      <c r="L46" s="43">
        <f t="shared" si="4"/>
        <v>5600</v>
      </c>
      <c r="M46" s="47">
        <f t="shared" si="2"/>
        <v>0</v>
      </c>
    </row>
    <row r="47" spans="1:13" x14ac:dyDescent="0.3">
      <c r="A47" s="5" t="s">
        <v>37</v>
      </c>
      <c r="B47" s="6" t="s">
        <v>27</v>
      </c>
      <c r="C47" s="6">
        <v>937782</v>
      </c>
      <c r="D47" s="6">
        <v>2022</v>
      </c>
      <c r="E47" s="2" t="s">
        <v>67</v>
      </c>
      <c r="F47" s="6" t="s">
        <v>110</v>
      </c>
      <c r="G47" s="1" t="s">
        <v>647</v>
      </c>
      <c r="H47" s="150">
        <v>2</v>
      </c>
      <c r="I47" s="47">
        <v>2050</v>
      </c>
      <c r="J47" s="30">
        <f t="shared" si="3"/>
        <v>4100</v>
      </c>
      <c r="K47" s="85">
        <v>0</v>
      </c>
      <c r="L47" s="43">
        <f t="shared" si="4"/>
        <v>4100</v>
      </c>
      <c r="M47" s="47">
        <f t="shared" si="2"/>
        <v>0</v>
      </c>
    </row>
    <row r="48" spans="1:13" x14ac:dyDescent="0.3">
      <c r="A48" s="5" t="s">
        <v>37</v>
      </c>
      <c r="B48" s="6" t="s">
        <v>27</v>
      </c>
      <c r="C48" s="6">
        <v>937782</v>
      </c>
      <c r="D48" s="6">
        <v>2022</v>
      </c>
      <c r="E48" s="2" t="s">
        <v>67</v>
      </c>
      <c r="F48" s="6" t="s">
        <v>110</v>
      </c>
      <c r="G48" s="1" t="s">
        <v>648</v>
      </c>
      <c r="H48" s="2">
        <v>4</v>
      </c>
      <c r="I48" s="47">
        <v>6530</v>
      </c>
      <c r="J48" s="30">
        <f t="shared" si="3"/>
        <v>26120</v>
      </c>
      <c r="K48" s="85">
        <v>0</v>
      </c>
      <c r="L48" s="43">
        <f t="shared" si="4"/>
        <v>26120</v>
      </c>
      <c r="M48" s="47">
        <f t="shared" si="2"/>
        <v>0</v>
      </c>
    </row>
    <row r="49" spans="1:13" x14ac:dyDescent="0.3">
      <c r="A49" s="5" t="s">
        <v>37</v>
      </c>
      <c r="B49" s="6" t="s">
        <v>27</v>
      </c>
      <c r="C49" s="6">
        <v>937782</v>
      </c>
      <c r="D49" s="6">
        <v>2022</v>
      </c>
      <c r="E49" s="2" t="s">
        <v>67</v>
      </c>
      <c r="F49" s="6" t="s">
        <v>110</v>
      </c>
      <c r="G49" s="1" t="s">
        <v>649</v>
      </c>
      <c r="H49" s="150">
        <v>1</v>
      </c>
      <c r="I49" s="47">
        <v>2880</v>
      </c>
      <c r="J49" s="151">
        <f t="shared" si="3"/>
        <v>2880</v>
      </c>
      <c r="K49" s="85">
        <v>0</v>
      </c>
      <c r="L49" s="43">
        <f t="shared" si="4"/>
        <v>2880</v>
      </c>
      <c r="M49" s="47">
        <f t="shared" si="2"/>
        <v>0</v>
      </c>
    </row>
    <row r="50" spans="1:13" x14ac:dyDescent="0.3">
      <c r="A50" s="5" t="s">
        <v>37</v>
      </c>
      <c r="B50" s="6" t="s">
        <v>27</v>
      </c>
      <c r="C50" s="6">
        <v>937782</v>
      </c>
      <c r="D50" s="6">
        <v>2022</v>
      </c>
      <c r="E50" s="2" t="s">
        <v>67</v>
      </c>
      <c r="F50" s="6" t="s">
        <v>110</v>
      </c>
      <c r="G50" s="1" t="s">
        <v>650</v>
      </c>
      <c r="H50" s="2">
        <v>1</v>
      </c>
      <c r="I50" s="47">
        <v>4200</v>
      </c>
      <c r="J50" s="151">
        <f t="shared" si="3"/>
        <v>4200</v>
      </c>
      <c r="K50" s="85">
        <v>0</v>
      </c>
      <c r="L50" s="43">
        <f t="shared" si="4"/>
        <v>4200</v>
      </c>
      <c r="M50" s="47">
        <f t="shared" si="2"/>
        <v>0</v>
      </c>
    </row>
    <row r="51" spans="1:13" x14ac:dyDescent="0.3">
      <c r="A51" s="5" t="s">
        <v>37</v>
      </c>
      <c r="B51" s="6" t="s">
        <v>27</v>
      </c>
      <c r="C51" s="6">
        <v>937782</v>
      </c>
      <c r="D51" s="6">
        <v>2022</v>
      </c>
      <c r="E51" s="2" t="s">
        <v>67</v>
      </c>
      <c r="F51" s="6" t="s">
        <v>110</v>
      </c>
      <c r="G51" s="1" t="s">
        <v>651</v>
      </c>
      <c r="H51" s="150">
        <v>1</v>
      </c>
      <c r="I51" s="47">
        <v>5380</v>
      </c>
      <c r="J51" s="151">
        <f t="shared" si="3"/>
        <v>5380</v>
      </c>
      <c r="K51" s="85">
        <v>0</v>
      </c>
      <c r="L51" s="43">
        <f t="shared" si="4"/>
        <v>5380</v>
      </c>
      <c r="M51" s="47">
        <f t="shared" si="2"/>
        <v>0</v>
      </c>
    </row>
  </sheetData>
  <autoFilter ref="A1:M51" xr:uid="{00F58443-0A8A-4CC5-B51E-2EE000BEE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666E-167E-4E15-8541-0D1533A82BC2}">
  <dimension ref="A1:M77"/>
  <sheetViews>
    <sheetView zoomScale="70" zoomScaleNormal="70" workbookViewId="0">
      <selection sqref="A1:M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4.59765625" style="3" bestFit="1" customWidth="1"/>
    <col min="13" max="13" width="15.8984375" bestFit="1" customWidth="1"/>
  </cols>
  <sheetData>
    <row r="1" spans="1:13" ht="46.8" x14ac:dyDescent="0.3">
      <c r="A1" s="32" t="s">
        <v>0</v>
      </c>
      <c r="B1" s="33" t="s">
        <v>1</v>
      </c>
      <c r="C1" s="33" t="s">
        <v>2</v>
      </c>
      <c r="D1" s="33" t="s">
        <v>3</v>
      </c>
      <c r="E1" s="34" t="s">
        <v>94</v>
      </c>
      <c r="F1" s="34" t="s">
        <v>95</v>
      </c>
      <c r="G1" s="34" t="s">
        <v>96</v>
      </c>
      <c r="H1" s="34" t="s">
        <v>97</v>
      </c>
      <c r="I1" s="35" t="s">
        <v>98</v>
      </c>
      <c r="J1" s="35" t="s">
        <v>99</v>
      </c>
      <c r="K1" s="35" t="s">
        <v>100</v>
      </c>
      <c r="L1" s="36" t="s">
        <v>101</v>
      </c>
      <c r="M1" s="46" t="s">
        <v>102</v>
      </c>
    </row>
    <row r="2" spans="1:13" x14ac:dyDescent="0.3">
      <c r="A2" s="37" t="s">
        <v>40</v>
      </c>
      <c r="B2" s="38" t="s">
        <v>27</v>
      </c>
      <c r="C2" s="38">
        <v>937265</v>
      </c>
      <c r="D2" s="38">
        <v>2022</v>
      </c>
      <c r="E2" s="38" t="s">
        <v>67</v>
      </c>
      <c r="F2" s="38" t="s">
        <v>103</v>
      </c>
      <c r="G2" s="38" t="s">
        <v>245</v>
      </c>
      <c r="H2" s="38" t="s">
        <v>246</v>
      </c>
      <c r="I2" s="39">
        <v>7.94</v>
      </c>
      <c r="J2" s="39">
        <v>2381</v>
      </c>
      <c r="K2" s="39">
        <v>0</v>
      </c>
      <c r="L2" s="40">
        <v>2381</v>
      </c>
      <c r="M2" s="47">
        <f>IF(E2="N/A", J2, IF(OR(K2=0, ISBLANK(K2), K2=""), 0, J2-K2))</f>
        <v>0</v>
      </c>
    </row>
    <row r="3" spans="1:13" x14ac:dyDescent="0.3">
      <c r="A3" s="23" t="s">
        <v>40</v>
      </c>
      <c r="B3" s="24" t="s">
        <v>27</v>
      </c>
      <c r="C3" s="24">
        <v>937265</v>
      </c>
      <c r="D3" s="24">
        <v>2022</v>
      </c>
      <c r="E3" s="24" t="s">
        <v>67</v>
      </c>
      <c r="F3" s="38" t="s">
        <v>103</v>
      </c>
      <c r="G3" s="24" t="s">
        <v>247</v>
      </c>
      <c r="H3" s="24" t="s">
        <v>246</v>
      </c>
      <c r="I3" s="25">
        <v>1.87</v>
      </c>
      <c r="J3" s="25">
        <v>560</v>
      </c>
      <c r="K3" s="25">
        <v>0</v>
      </c>
      <c r="L3" s="26">
        <v>560</v>
      </c>
      <c r="M3" s="47">
        <f t="shared" ref="M3:M66" si="0">IF(E3="N/A", J3, IF(OR(K3=0, ISBLANK(K3), K3=""), 0, J3-K3))</f>
        <v>0</v>
      </c>
    </row>
    <row r="4" spans="1:13" x14ac:dyDescent="0.3">
      <c r="A4" s="37" t="s">
        <v>40</v>
      </c>
      <c r="B4" s="38" t="s">
        <v>27</v>
      </c>
      <c r="C4" s="38">
        <v>937265</v>
      </c>
      <c r="D4" s="38">
        <v>2022</v>
      </c>
      <c r="E4" s="38" t="s">
        <v>67</v>
      </c>
      <c r="F4" s="38" t="s">
        <v>103</v>
      </c>
      <c r="G4" s="38" t="s">
        <v>248</v>
      </c>
      <c r="H4" s="38" t="s">
        <v>185</v>
      </c>
      <c r="I4" s="39">
        <v>188.89</v>
      </c>
      <c r="J4" s="39">
        <v>3777.87</v>
      </c>
      <c r="K4" s="39">
        <v>0</v>
      </c>
      <c r="L4" s="40">
        <v>3777.87</v>
      </c>
      <c r="M4" s="47">
        <f t="shared" si="0"/>
        <v>0</v>
      </c>
    </row>
    <row r="5" spans="1:13" x14ac:dyDescent="0.3">
      <c r="A5" s="23" t="s">
        <v>40</v>
      </c>
      <c r="B5" s="24" t="s">
        <v>27</v>
      </c>
      <c r="C5" s="24">
        <v>937265</v>
      </c>
      <c r="D5" s="24">
        <v>2022</v>
      </c>
      <c r="E5" s="24" t="s">
        <v>67</v>
      </c>
      <c r="F5" s="38" t="s">
        <v>103</v>
      </c>
      <c r="G5" s="24" t="s">
        <v>249</v>
      </c>
      <c r="H5" s="24" t="s">
        <v>164</v>
      </c>
      <c r="I5" s="25">
        <v>482</v>
      </c>
      <c r="J5" s="25">
        <v>4338</v>
      </c>
      <c r="K5" s="25">
        <v>0</v>
      </c>
      <c r="L5" s="26">
        <v>4338</v>
      </c>
      <c r="M5" s="47">
        <f t="shared" si="0"/>
        <v>0</v>
      </c>
    </row>
    <row r="6" spans="1:13" x14ac:dyDescent="0.3">
      <c r="A6" s="37" t="s">
        <v>40</v>
      </c>
      <c r="B6" s="38" t="s">
        <v>27</v>
      </c>
      <c r="C6" s="38">
        <v>937265</v>
      </c>
      <c r="D6" s="38">
        <v>2022</v>
      </c>
      <c r="E6" s="38" t="s">
        <v>67</v>
      </c>
      <c r="F6" s="38" t="s">
        <v>103</v>
      </c>
      <c r="G6" s="38" t="s">
        <v>250</v>
      </c>
      <c r="H6" s="38" t="s">
        <v>251</v>
      </c>
      <c r="I6" s="39">
        <v>7.15</v>
      </c>
      <c r="J6" s="39">
        <v>150.15</v>
      </c>
      <c r="K6" s="39">
        <v>0</v>
      </c>
      <c r="L6" s="40">
        <v>150.15</v>
      </c>
      <c r="M6" s="47">
        <f t="shared" si="0"/>
        <v>0</v>
      </c>
    </row>
    <row r="7" spans="1:13" x14ac:dyDescent="0.3">
      <c r="A7" s="23" t="s">
        <v>40</v>
      </c>
      <c r="B7" s="24" t="s">
        <v>27</v>
      </c>
      <c r="C7" s="24">
        <v>937265</v>
      </c>
      <c r="D7" s="24">
        <v>2022</v>
      </c>
      <c r="E7" s="24" t="s">
        <v>65</v>
      </c>
      <c r="F7" s="38" t="s">
        <v>103</v>
      </c>
      <c r="G7" s="24" t="s">
        <v>252</v>
      </c>
      <c r="H7" s="24" t="s">
        <v>185</v>
      </c>
      <c r="I7" s="25">
        <v>73.150000000000006</v>
      </c>
      <c r="J7" s="25">
        <v>1463</v>
      </c>
      <c r="K7" s="25">
        <v>0</v>
      </c>
      <c r="L7" s="26">
        <v>1463</v>
      </c>
      <c r="M7" s="47">
        <f t="shared" si="0"/>
        <v>0</v>
      </c>
    </row>
    <row r="8" spans="1:13" x14ac:dyDescent="0.3">
      <c r="A8" s="37" t="s">
        <v>40</v>
      </c>
      <c r="B8" s="38" t="s">
        <v>27</v>
      </c>
      <c r="C8" s="38">
        <v>937265</v>
      </c>
      <c r="D8" s="38">
        <v>2022</v>
      </c>
      <c r="E8" s="38" t="s">
        <v>65</v>
      </c>
      <c r="F8" s="38" t="s">
        <v>103</v>
      </c>
      <c r="G8" s="38" t="s">
        <v>253</v>
      </c>
      <c r="H8" s="38" t="s">
        <v>185</v>
      </c>
      <c r="I8" s="39">
        <v>330.53</v>
      </c>
      <c r="J8" s="39">
        <v>6610.53</v>
      </c>
      <c r="K8" s="39">
        <v>0</v>
      </c>
      <c r="L8" s="40">
        <v>9915.7999999999993</v>
      </c>
      <c r="M8" s="47">
        <f t="shared" si="0"/>
        <v>0</v>
      </c>
    </row>
    <row r="9" spans="1:13" x14ac:dyDescent="0.3">
      <c r="A9" s="23" t="s">
        <v>40</v>
      </c>
      <c r="B9" s="24" t="s">
        <v>27</v>
      </c>
      <c r="C9" s="24">
        <v>937265</v>
      </c>
      <c r="D9" s="24">
        <v>2022</v>
      </c>
      <c r="E9" s="24" t="s">
        <v>66</v>
      </c>
      <c r="F9" s="38" t="s">
        <v>103</v>
      </c>
      <c r="G9" s="24" t="s">
        <v>253</v>
      </c>
      <c r="H9" s="24" t="s">
        <v>216</v>
      </c>
      <c r="I9" s="25">
        <v>330.53</v>
      </c>
      <c r="J9" s="25">
        <v>9915.7999999999993</v>
      </c>
      <c r="K9" s="25">
        <v>0</v>
      </c>
      <c r="L9" s="26">
        <v>6610.53</v>
      </c>
      <c r="M9" s="47">
        <f t="shared" si="0"/>
        <v>0</v>
      </c>
    </row>
    <row r="10" spans="1:13" x14ac:dyDescent="0.3">
      <c r="A10" s="37" t="s">
        <v>40</v>
      </c>
      <c r="B10" s="38" t="s">
        <v>27</v>
      </c>
      <c r="C10" s="38">
        <v>937265</v>
      </c>
      <c r="D10" s="38">
        <v>2022</v>
      </c>
      <c r="E10" s="38" t="s">
        <v>66</v>
      </c>
      <c r="F10" s="38" t="s">
        <v>103</v>
      </c>
      <c r="G10" s="38" t="s">
        <v>254</v>
      </c>
      <c r="H10" s="38" t="s">
        <v>216</v>
      </c>
      <c r="I10" s="39">
        <v>198.38</v>
      </c>
      <c r="J10" s="39">
        <v>5951.5</v>
      </c>
      <c r="K10" s="39">
        <v>0</v>
      </c>
      <c r="L10" s="40">
        <v>5951.5</v>
      </c>
      <c r="M10" s="47">
        <f t="shared" si="0"/>
        <v>0</v>
      </c>
    </row>
    <row r="11" spans="1:13" x14ac:dyDescent="0.3">
      <c r="A11" s="23" t="s">
        <v>40</v>
      </c>
      <c r="B11" s="24" t="s">
        <v>27</v>
      </c>
      <c r="C11" s="24">
        <v>937265</v>
      </c>
      <c r="D11" s="24">
        <v>2022</v>
      </c>
      <c r="E11" s="24" t="s">
        <v>67</v>
      </c>
      <c r="F11" s="38" t="s">
        <v>103</v>
      </c>
      <c r="G11" s="24" t="s">
        <v>255</v>
      </c>
      <c r="H11" s="24" t="s">
        <v>175</v>
      </c>
      <c r="I11" s="25">
        <v>104.48</v>
      </c>
      <c r="J11" s="25">
        <v>1567.2</v>
      </c>
      <c r="K11" s="25">
        <v>0</v>
      </c>
      <c r="L11" s="26">
        <v>1567.2</v>
      </c>
      <c r="M11" s="47">
        <f t="shared" si="0"/>
        <v>0</v>
      </c>
    </row>
    <row r="12" spans="1:13" x14ac:dyDescent="0.3">
      <c r="A12" s="37" t="s">
        <v>40</v>
      </c>
      <c r="B12" s="38" t="s">
        <v>27</v>
      </c>
      <c r="C12" s="38">
        <v>937265</v>
      </c>
      <c r="D12" s="38">
        <v>2022</v>
      </c>
      <c r="E12" s="38" t="s">
        <v>67</v>
      </c>
      <c r="F12" s="38" t="s">
        <v>103</v>
      </c>
      <c r="G12" s="38" t="s">
        <v>256</v>
      </c>
      <c r="H12" s="38" t="s">
        <v>116</v>
      </c>
      <c r="I12" s="39">
        <v>475.99</v>
      </c>
      <c r="J12" s="39">
        <v>475.99</v>
      </c>
      <c r="K12" s="39">
        <v>0</v>
      </c>
      <c r="L12" s="40">
        <v>475.99</v>
      </c>
      <c r="M12" s="47">
        <f t="shared" si="0"/>
        <v>0</v>
      </c>
    </row>
    <row r="13" spans="1:13" x14ac:dyDescent="0.3">
      <c r="A13" s="23" t="s">
        <v>40</v>
      </c>
      <c r="B13" s="24" t="s">
        <v>27</v>
      </c>
      <c r="C13" s="24">
        <v>937265</v>
      </c>
      <c r="D13" s="24">
        <v>2022</v>
      </c>
      <c r="E13" s="24" t="s">
        <v>66</v>
      </c>
      <c r="F13" s="38" t="s">
        <v>103</v>
      </c>
      <c r="G13" s="24" t="s">
        <v>257</v>
      </c>
      <c r="H13" s="24" t="s">
        <v>216</v>
      </c>
      <c r="I13" s="25">
        <v>209.13</v>
      </c>
      <c r="J13" s="25">
        <v>6273.98</v>
      </c>
      <c r="K13" s="25">
        <v>0</v>
      </c>
      <c r="L13" s="26">
        <v>4182.6499999999996</v>
      </c>
      <c r="M13" s="47">
        <f t="shared" si="0"/>
        <v>0</v>
      </c>
    </row>
    <row r="14" spans="1:13" x14ac:dyDescent="0.3">
      <c r="A14" s="37" t="s">
        <v>40</v>
      </c>
      <c r="B14" s="38" t="s">
        <v>27</v>
      </c>
      <c r="C14" s="38">
        <v>937265</v>
      </c>
      <c r="D14" s="38">
        <v>2022</v>
      </c>
      <c r="E14" s="38" t="s">
        <v>65</v>
      </c>
      <c r="F14" s="38" t="s">
        <v>103</v>
      </c>
      <c r="G14" s="38" t="s">
        <v>257</v>
      </c>
      <c r="H14" s="38" t="s">
        <v>185</v>
      </c>
      <c r="I14" s="39">
        <v>209.13</v>
      </c>
      <c r="J14" s="39">
        <v>4182.6499999999996</v>
      </c>
      <c r="K14" s="39">
        <v>0</v>
      </c>
      <c r="L14" s="40">
        <v>6273.98</v>
      </c>
      <c r="M14" s="47">
        <f t="shared" si="0"/>
        <v>0</v>
      </c>
    </row>
    <row r="15" spans="1:13" x14ac:dyDescent="0.3">
      <c r="A15" s="23" t="s">
        <v>40</v>
      </c>
      <c r="B15" s="24" t="s">
        <v>27</v>
      </c>
      <c r="C15" s="24">
        <v>937265</v>
      </c>
      <c r="D15" s="24">
        <v>2022</v>
      </c>
      <c r="E15" s="24" t="s">
        <v>66</v>
      </c>
      <c r="F15" s="38" t="s">
        <v>103</v>
      </c>
      <c r="G15" s="24" t="s">
        <v>258</v>
      </c>
      <c r="H15" s="24" t="s">
        <v>216</v>
      </c>
      <c r="I15" s="25">
        <v>356.2</v>
      </c>
      <c r="J15" s="25">
        <v>10686</v>
      </c>
      <c r="K15" s="25">
        <v>0</v>
      </c>
      <c r="L15" s="26">
        <v>7124</v>
      </c>
      <c r="M15" s="47">
        <f t="shared" si="0"/>
        <v>0</v>
      </c>
    </row>
    <row r="16" spans="1:13" x14ac:dyDescent="0.3">
      <c r="A16" s="37" t="s">
        <v>40</v>
      </c>
      <c r="B16" s="38" t="s">
        <v>27</v>
      </c>
      <c r="C16" s="38">
        <v>937265</v>
      </c>
      <c r="D16" s="38">
        <v>2022</v>
      </c>
      <c r="E16" s="38" t="s">
        <v>65</v>
      </c>
      <c r="F16" s="38" t="s">
        <v>103</v>
      </c>
      <c r="G16" s="38" t="s">
        <v>258</v>
      </c>
      <c r="H16" s="38" t="s">
        <v>185</v>
      </c>
      <c r="I16" s="39">
        <v>356.2</v>
      </c>
      <c r="J16" s="39">
        <v>7124</v>
      </c>
      <c r="K16" s="39">
        <v>0</v>
      </c>
      <c r="L16" s="40">
        <v>10686</v>
      </c>
      <c r="M16" s="47">
        <f t="shared" si="0"/>
        <v>0</v>
      </c>
    </row>
    <row r="17" spans="1:13" x14ac:dyDescent="0.3">
      <c r="A17" s="23" t="s">
        <v>40</v>
      </c>
      <c r="B17" s="24" t="s">
        <v>27</v>
      </c>
      <c r="C17" s="24">
        <v>937265</v>
      </c>
      <c r="D17" s="24">
        <v>2022</v>
      </c>
      <c r="E17" s="24" t="s">
        <v>67</v>
      </c>
      <c r="F17" s="38" t="s">
        <v>103</v>
      </c>
      <c r="G17" s="24" t="s">
        <v>259</v>
      </c>
      <c r="H17" s="24" t="s">
        <v>185</v>
      </c>
      <c r="I17" s="25">
        <v>90.73</v>
      </c>
      <c r="J17" s="25">
        <v>1814.67</v>
      </c>
      <c r="K17" s="25">
        <v>0</v>
      </c>
      <c r="L17" s="26">
        <v>1814.67</v>
      </c>
      <c r="M17" s="47">
        <f t="shared" si="0"/>
        <v>0</v>
      </c>
    </row>
    <row r="18" spans="1:13" x14ac:dyDescent="0.3">
      <c r="A18" s="37" t="s">
        <v>40</v>
      </c>
      <c r="B18" s="38" t="s">
        <v>27</v>
      </c>
      <c r="C18" s="38">
        <v>937265</v>
      </c>
      <c r="D18" s="38">
        <v>2022</v>
      </c>
      <c r="E18" s="38" t="s">
        <v>67</v>
      </c>
      <c r="F18" s="38" t="s">
        <v>103</v>
      </c>
      <c r="G18" s="38" t="s">
        <v>260</v>
      </c>
      <c r="H18" s="38" t="s">
        <v>185</v>
      </c>
      <c r="I18" s="39">
        <v>116.6</v>
      </c>
      <c r="J18" s="39">
        <v>2332</v>
      </c>
      <c r="K18" s="39">
        <v>0</v>
      </c>
      <c r="L18" s="40">
        <v>2332</v>
      </c>
      <c r="M18" s="47">
        <f t="shared" si="0"/>
        <v>0</v>
      </c>
    </row>
    <row r="19" spans="1:13" x14ac:dyDescent="0.3">
      <c r="A19" s="23" t="s">
        <v>40</v>
      </c>
      <c r="B19" s="24" t="s">
        <v>27</v>
      </c>
      <c r="C19" s="24">
        <v>937265</v>
      </c>
      <c r="D19" s="24">
        <v>2022</v>
      </c>
      <c r="E19" s="24" t="s">
        <v>67</v>
      </c>
      <c r="F19" s="38" t="s">
        <v>103</v>
      </c>
      <c r="G19" s="24" t="s">
        <v>261</v>
      </c>
      <c r="H19" s="24" t="s">
        <v>175</v>
      </c>
      <c r="I19" s="25">
        <v>89.69</v>
      </c>
      <c r="J19" s="25">
        <v>1345.35</v>
      </c>
      <c r="K19" s="25">
        <v>0</v>
      </c>
      <c r="L19" s="26">
        <v>1345.35</v>
      </c>
      <c r="M19" s="47">
        <f t="shared" si="0"/>
        <v>0</v>
      </c>
    </row>
    <row r="20" spans="1:13" x14ac:dyDescent="0.3">
      <c r="A20" s="37" t="s">
        <v>40</v>
      </c>
      <c r="B20" s="38" t="s">
        <v>27</v>
      </c>
      <c r="C20" s="38">
        <v>937265</v>
      </c>
      <c r="D20" s="38">
        <v>2022</v>
      </c>
      <c r="E20" s="38" t="s">
        <v>65</v>
      </c>
      <c r="F20" s="38" t="s">
        <v>103</v>
      </c>
      <c r="G20" s="38" t="s">
        <v>262</v>
      </c>
      <c r="H20" s="38" t="s">
        <v>263</v>
      </c>
      <c r="I20" s="39">
        <v>7.99</v>
      </c>
      <c r="J20" s="39">
        <v>798.69</v>
      </c>
      <c r="K20" s="39">
        <v>0</v>
      </c>
      <c r="L20" s="40">
        <v>798.69</v>
      </c>
      <c r="M20" s="47">
        <f t="shared" si="0"/>
        <v>0</v>
      </c>
    </row>
    <row r="21" spans="1:13" x14ac:dyDescent="0.3">
      <c r="A21" s="23" t="s">
        <v>40</v>
      </c>
      <c r="B21" s="24" t="s">
        <v>27</v>
      </c>
      <c r="C21" s="24">
        <v>937265</v>
      </c>
      <c r="D21" s="24">
        <v>2022</v>
      </c>
      <c r="E21" s="24" t="s">
        <v>66</v>
      </c>
      <c r="F21" s="38" t="s">
        <v>103</v>
      </c>
      <c r="G21" s="24" t="s">
        <v>264</v>
      </c>
      <c r="H21" s="24" t="s">
        <v>137</v>
      </c>
      <c r="I21" s="25">
        <v>1630.69</v>
      </c>
      <c r="J21" s="25">
        <v>4892.07</v>
      </c>
      <c r="K21" s="25">
        <v>0</v>
      </c>
      <c r="L21" s="26">
        <v>4892.07</v>
      </c>
      <c r="M21" s="47">
        <f t="shared" si="0"/>
        <v>0</v>
      </c>
    </row>
    <row r="22" spans="1:13" x14ac:dyDescent="0.3">
      <c r="A22" s="37" t="s">
        <v>40</v>
      </c>
      <c r="B22" s="38" t="s">
        <v>27</v>
      </c>
      <c r="C22" s="38">
        <v>937265</v>
      </c>
      <c r="D22" s="38">
        <v>2022</v>
      </c>
      <c r="E22" s="38" t="s">
        <v>65</v>
      </c>
      <c r="F22" s="38" t="s">
        <v>103</v>
      </c>
      <c r="G22" s="38" t="s">
        <v>264</v>
      </c>
      <c r="H22" s="38" t="s">
        <v>137</v>
      </c>
      <c r="I22" s="39">
        <v>1630.69</v>
      </c>
      <c r="J22" s="39">
        <v>4892.0600000000004</v>
      </c>
      <c r="K22" s="39">
        <v>0</v>
      </c>
      <c r="L22" s="40">
        <v>4892.0600000000004</v>
      </c>
      <c r="M22" s="47">
        <f t="shared" si="0"/>
        <v>0</v>
      </c>
    </row>
    <row r="23" spans="1:13" x14ac:dyDescent="0.3">
      <c r="A23" s="23" t="s">
        <v>40</v>
      </c>
      <c r="B23" s="24" t="s">
        <v>27</v>
      </c>
      <c r="C23" s="24">
        <v>937265</v>
      </c>
      <c r="D23" s="24">
        <v>2022</v>
      </c>
      <c r="E23" s="24" t="s">
        <v>65</v>
      </c>
      <c r="F23" s="38" t="s">
        <v>103</v>
      </c>
      <c r="G23" s="24" t="s">
        <v>265</v>
      </c>
      <c r="H23" s="24" t="s">
        <v>185</v>
      </c>
      <c r="I23" s="25">
        <v>88.84</v>
      </c>
      <c r="J23" s="25">
        <v>1776.8</v>
      </c>
      <c r="K23" s="25">
        <v>0</v>
      </c>
      <c r="L23" s="26">
        <v>1776.8</v>
      </c>
      <c r="M23" s="47">
        <f t="shared" si="0"/>
        <v>0</v>
      </c>
    </row>
    <row r="24" spans="1:13" x14ac:dyDescent="0.3">
      <c r="A24" s="37" t="s">
        <v>40</v>
      </c>
      <c r="B24" s="38" t="s">
        <v>27</v>
      </c>
      <c r="C24" s="38">
        <v>937265</v>
      </c>
      <c r="D24" s="38">
        <v>2022</v>
      </c>
      <c r="E24" s="38" t="s">
        <v>65</v>
      </c>
      <c r="F24" s="38" t="s">
        <v>103</v>
      </c>
      <c r="G24" s="38" t="s">
        <v>266</v>
      </c>
      <c r="H24" s="38" t="s">
        <v>114</v>
      </c>
      <c r="I24" s="39">
        <v>3.97</v>
      </c>
      <c r="J24" s="39">
        <v>19.850000000000001</v>
      </c>
      <c r="K24" s="39">
        <v>0</v>
      </c>
      <c r="L24" s="40">
        <v>19.850000000000001</v>
      </c>
      <c r="M24" s="47">
        <f t="shared" si="0"/>
        <v>0</v>
      </c>
    </row>
    <row r="25" spans="1:13" x14ac:dyDescent="0.3">
      <c r="A25" s="23" t="s">
        <v>40</v>
      </c>
      <c r="B25" s="24" t="s">
        <v>27</v>
      </c>
      <c r="C25" s="24">
        <v>937265</v>
      </c>
      <c r="D25" s="24">
        <v>2022</v>
      </c>
      <c r="E25" s="24" t="s">
        <v>65</v>
      </c>
      <c r="F25" s="38" t="s">
        <v>103</v>
      </c>
      <c r="G25" s="24" t="s">
        <v>267</v>
      </c>
      <c r="H25" s="24" t="s">
        <v>167</v>
      </c>
      <c r="I25" s="25">
        <v>19.95</v>
      </c>
      <c r="J25" s="25">
        <v>119.7</v>
      </c>
      <c r="K25" s="25">
        <v>0</v>
      </c>
      <c r="L25" s="26">
        <v>119.7</v>
      </c>
      <c r="M25" s="47">
        <f t="shared" si="0"/>
        <v>0</v>
      </c>
    </row>
    <row r="26" spans="1:13" x14ac:dyDescent="0.3">
      <c r="A26" s="37" t="s">
        <v>40</v>
      </c>
      <c r="B26" s="38" t="s">
        <v>27</v>
      </c>
      <c r="C26" s="38">
        <v>937265</v>
      </c>
      <c r="D26" s="38">
        <v>2022</v>
      </c>
      <c r="E26" s="38" t="s">
        <v>65</v>
      </c>
      <c r="F26" s="38" t="s">
        <v>103</v>
      </c>
      <c r="G26" s="38" t="s">
        <v>268</v>
      </c>
      <c r="H26" s="38" t="s">
        <v>114</v>
      </c>
      <c r="I26" s="39">
        <v>264.97000000000003</v>
      </c>
      <c r="J26" s="39">
        <v>1324.85</v>
      </c>
      <c r="K26" s="39">
        <v>0</v>
      </c>
      <c r="L26" s="40">
        <v>1324.85</v>
      </c>
      <c r="M26" s="47">
        <f t="shared" si="0"/>
        <v>0</v>
      </c>
    </row>
    <row r="27" spans="1:13" x14ac:dyDescent="0.3">
      <c r="A27" s="23" t="s">
        <v>40</v>
      </c>
      <c r="B27" s="24" t="s">
        <v>27</v>
      </c>
      <c r="C27" s="24">
        <v>937265</v>
      </c>
      <c r="D27" s="24">
        <v>2022</v>
      </c>
      <c r="E27" s="24" t="s">
        <v>65</v>
      </c>
      <c r="F27" s="38" t="s">
        <v>103</v>
      </c>
      <c r="G27" s="24" t="s">
        <v>269</v>
      </c>
      <c r="H27" s="24" t="s">
        <v>270</v>
      </c>
      <c r="I27" s="25">
        <v>3.07</v>
      </c>
      <c r="J27" s="25">
        <v>310.07</v>
      </c>
      <c r="K27" s="25">
        <v>0</v>
      </c>
      <c r="L27" s="26">
        <v>310.07</v>
      </c>
      <c r="M27" s="47">
        <f t="shared" si="0"/>
        <v>0</v>
      </c>
    </row>
    <row r="28" spans="1:13" x14ac:dyDescent="0.3">
      <c r="A28" s="37" t="s">
        <v>40</v>
      </c>
      <c r="B28" s="38" t="s">
        <v>27</v>
      </c>
      <c r="C28" s="38">
        <v>937265</v>
      </c>
      <c r="D28" s="38">
        <v>2022</v>
      </c>
      <c r="E28" s="38" t="s">
        <v>65</v>
      </c>
      <c r="F28" s="38" t="s">
        <v>103</v>
      </c>
      <c r="G28" s="38" t="s">
        <v>271</v>
      </c>
      <c r="H28" s="38" t="s">
        <v>167</v>
      </c>
      <c r="I28" s="39">
        <v>124.86</v>
      </c>
      <c r="J28" s="39">
        <v>749.16</v>
      </c>
      <c r="K28" s="39">
        <v>0</v>
      </c>
      <c r="L28" s="40">
        <v>749.16</v>
      </c>
      <c r="M28" s="47">
        <f t="shared" si="0"/>
        <v>0</v>
      </c>
    </row>
    <row r="29" spans="1:13" x14ac:dyDescent="0.3">
      <c r="A29" s="23" t="s">
        <v>40</v>
      </c>
      <c r="B29" s="24" t="s">
        <v>27</v>
      </c>
      <c r="C29" s="24">
        <v>937265</v>
      </c>
      <c r="D29" s="24">
        <v>2022</v>
      </c>
      <c r="E29" s="24" t="s">
        <v>65</v>
      </c>
      <c r="F29" s="38" t="s">
        <v>103</v>
      </c>
      <c r="G29" s="24" t="s">
        <v>254</v>
      </c>
      <c r="H29" s="24" t="s">
        <v>215</v>
      </c>
      <c r="I29" s="25">
        <v>198.38</v>
      </c>
      <c r="J29" s="25">
        <v>7935.33</v>
      </c>
      <c r="K29" s="25">
        <v>0</v>
      </c>
      <c r="L29" s="26">
        <v>7935.33</v>
      </c>
      <c r="M29" s="47">
        <f t="shared" si="0"/>
        <v>0</v>
      </c>
    </row>
    <row r="30" spans="1:13" x14ac:dyDescent="0.3">
      <c r="A30" s="37" t="s">
        <v>40</v>
      </c>
      <c r="B30" s="38" t="s">
        <v>27</v>
      </c>
      <c r="C30" s="38">
        <v>937265</v>
      </c>
      <c r="D30" s="38">
        <v>2022</v>
      </c>
      <c r="E30" s="38" t="s">
        <v>67</v>
      </c>
      <c r="F30" s="38" t="s">
        <v>103</v>
      </c>
      <c r="G30" s="38" t="s">
        <v>272</v>
      </c>
      <c r="H30" s="38" t="s">
        <v>273</v>
      </c>
      <c r="I30" s="39">
        <v>130.72</v>
      </c>
      <c r="J30" s="39">
        <v>2222.2399999999998</v>
      </c>
      <c r="K30" s="39">
        <v>0</v>
      </c>
      <c r="L30" s="40">
        <v>2222.2399999999998</v>
      </c>
      <c r="M30" s="47">
        <f t="shared" si="0"/>
        <v>0</v>
      </c>
    </row>
    <row r="31" spans="1:13" x14ac:dyDescent="0.3">
      <c r="A31" s="23" t="s">
        <v>40</v>
      </c>
      <c r="B31" s="24" t="s">
        <v>27</v>
      </c>
      <c r="C31" s="24">
        <v>937265</v>
      </c>
      <c r="D31" s="24">
        <v>2022</v>
      </c>
      <c r="E31" s="24" t="s">
        <v>67</v>
      </c>
      <c r="F31" s="38" t="s">
        <v>103</v>
      </c>
      <c r="G31" s="24" t="s">
        <v>274</v>
      </c>
      <c r="H31" s="24" t="s">
        <v>275</v>
      </c>
      <c r="I31" s="25">
        <v>303.33</v>
      </c>
      <c r="J31" s="25">
        <v>5459.94</v>
      </c>
      <c r="K31" s="25">
        <v>0</v>
      </c>
      <c r="L31" s="26">
        <v>5459.94</v>
      </c>
      <c r="M31" s="47">
        <f t="shared" si="0"/>
        <v>0</v>
      </c>
    </row>
    <row r="32" spans="1:13" x14ac:dyDescent="0.3">
      <c r="A32" s="37" t="s">
        <v>40</v>
      </c>
      <c r="B32" s="38" t="s">
        <v>27</v>
      </c>
      <c r="C32" s="38">
        <v>937265</v>
      </c>
      <c r="D32" s="38">
        <v>2022</v>
      </c>
      <c r="E32" s="38" t="s">
        <v>65</v>
      </c>
      <c r="F32" s="38" t="s">
        <v>103</v>
      </c>
      <c r="G32" s="38" t="s">
        <v>276</v>
      </c>
      <c r="H32" s="38" t="s">
        <v>114</v>
      </c>
      <c r="I32" s="39">
        <v>163.77000000000001</v>
      </c>
      <c r="J32" s="39">
        <v>818.87</v>
      </c>
      <c r="K32" s="39">
        <v>0</v>
      </c>
      <c r="L32" s="40">
        <v>818.87</v>
      </c>
      <c r="M32" s="47">
        <f t="shared" si="0"/>
        <v>0</v>
      </c>
    </row>
    <row r="33" spans="1:13" x14ac:dyDescent="0.3">
      <c r="A33" s="23" t="s">
        <v>40</v>
      </c>
      <c r="B33" s="24" t="s">
        <v>27</v>
      </c>
      <c r="C33" s="24">
        <v>937265</v>
      </c>
      <c r="D33" s="24">
        <v>2022</v>
      </c>
      <c r="E33" s="24" t="s">
        <v>67</v>
      </c>
      <c r="F33" s="38" t="s">
        <v>103</v>
      </c>
      <c r="G33" s="24" t="s">
        <v>277</v>
      </c>
      <c r="H33" s="24" t="s">
        <v>275</v>
      </c>
      <c r="I33" s="25">
        <v>1030.46</v>
      </c>
      <c r="J33" s="25">
        <v>18548.28</v>
      </c>
      <c r="K33" s="25">
        <v>0</v>
      </c>
      <c r="L33" s="26">
        <v>18548.28</v>
      </c>
      <c r="M33" s="47">
        <f t="shared" si="0"/>
        <v>0</v>
      </c>
    </row>
    <row r="34" spans="1:13" x14ac:dyDescent="0.3">
      <c r="A34" s="37" t="s">
        <v>40</v>
      </c>
      <c r="B34" s="38" t="s">
        <v>27</v>
      </c>
      <c r="C34" s="38">
        <v>937265</v>
      </c>
      <c r="D34" s="38">
        <v>2022</v>
      </c>
      <c r="E34" s="38" t="s">
        <v>67</v>
      </c>
      <c r="F34" s="38" t="s">
        <v>103</v>
      </c>
      <c r="G34" s="38" t="s">
        <v>278</v>
      </c>
      <c r="H34" s="38" t="s">
        <v>279</v>
      </c>
      <c r="I34" s="39">
        <v>98.42</v>
      </c>
      <c r="J34" s="39">
        <v>3838.52</v>
      </c>
      <c r="K34" s="39">
        <v>0</v>
      </c>
      <c r="L34" s="40">
        <v>3838.52</v>
      </c>
      <c r="M34" s="47">
        <f t="shared" si="0"/>
        <v>0</v>
      </c>
    </row>
    <row r="35" spans="1:13" x14ac:dyDescent="0.3">
      <c r="A35" s="23" t="s">
        <v>40</v>
      </c>
      <c r="B35" s="24" t="s">
        <v>27</v>
      </c>
      <c r="C35" s="24">
        <v>937265</v>
      </c>
      <c r="D35" s="24">
        <v>2022</v>
      </c>
      <c r="E35" s="24" t="s">
        <v>67</v>
      </c>
      <c r="F35" s="38" t="s">
        <v>103</v>
      </c>
      <c r="G35" s="24" t="s">
        <v>280</v>
      </c>
      <c r="H35" s="24" t="s">
        <v>275</v>
      </c>
      <c r="I35" s="25">
        <v>401.64</v>
      </c>
      <c r="J35" s="25">
        <v>7229.53</v>
      </c>
      <c r="K35" s="25">
        <v>0</v>
      </c>
      <c r="L35" s="26">
        <v>7229.53</v>
      </c>
      <c r="M35" s="47">
        <f t="shared" si="0"/>
        <v>0</v>
      </c>
    </row>
    <row r="36" spans="1:13" x14ac:dyDescent="0.3">
      <c r="A36" s="37" t="s">
        <v>40</v>
      </c>
      <c r="B36" s="38" t="s">
        <v>27</v>
      </c>
      <c r="C36" s="38">
        <v>937265</v>
      </c>
      <c r="D36" s="38">
        <v>2022</v>
      </c>
      <c r="E36" s="38" t="s">
        <v>65</v>
      </c>
      <c r="F36" s="38" t="s">
        <v>103</v>
      </c>
      <c r="G36" s="38" t="s">
        <v>281</v>
      </c>
      <c r="H36" s="38" t="s">
        <v>218</v>
      </c>
      <c r="I36" s="39">
        <v>37.15</v>
      </c>
      <c r="J36" s="39">
        <v>2972</v>
      </c>
      <c r="K36" s="39">
        <v>0</v>
      </c>
      <c r="L36" s="40">
        <v>2972</v>
      </c>
      <c r="M36" s="47">
        <f t="shared" si="0"/>
        <v>0</v>
      </c>
    </row>
    <row r="37" spans="1:13" x14ac:dyDescent="0.3">
      <c r="A37" s="23" t="s">
        <v>40</v>
      </c>
      <c r="B37" s="24" t="s">
        <v>27</v>
      </c>
      <c r="C37" s="24">
        <v>937265</v>
      </c>
      <c r="D37" s="24">
        <v>2022</v>
      </c>
      <c r="E37" s="24" t="s">
        <v>66</v>
      </c>
      <c r="F37" s="38" t="s">
        <v>103</v>
      </c>
      <c r="G37" s="24" t="s">
        <v>282</v>
      </c>
      <c r="H37" s="24" t="s">
        <v>283</v>
      </c>
      <c r="I37" s="25">
        <v>37.590000000000003</v>
      </c>
      <c r="J37" s="25">
        <v>2142.35</v>
      </c>
      <c r="K37" s="25">
        <v>0</v>
      </c>
      <c r="L37" s="26">
        <v>2142.35</v>
      </c>
      <c r="M37" s="47">
        <f t="shared" si="0"/>
        <v>0</v>
      </c>
    </row>
    <row r="38" spans="1:13" x14ac:dyDescent="0.3">
      <c r="A38" s="37" t="s">
        <v>40</v>
      </c>
      <c r="B38" s="38" t="s">
        <v>27</v>
      </c>
      <c r="C38" s="38">
        <v>937265</v>
      </c>
      <c r="D38" s="38">
        <v>2022</v>
      </c>
      <c r="E38" s="38" t="s">
        <v>65</v>
      </c>
      <c r="F38" s="38" t="s">
        <v>110</v>
      </c>
      <c r="G38" s="38" t="s">
        <v>284</v>
      </c>
      <c r="H38" s="38" t="s">
        <v>112</v>
      </c>
      <c r="I38" s="39">
        <v>2595.3000000000002</v>
      </c>
      <c r="J38" s="39">
        <v>10381.209999999999</v>
      </c>
      <c r="K38" s="39">
        <v>0</v>
      </c>
      <c r="L38" s="40">
        <v>10381.209999999999</v>
      </c>
      <c r="M38" s="47">
        <f t="shared" si="0"/>
        <v>0</v>
      </c>
    </row>
    <row r="39" spans="1:13" x14ac:dyDescent="0.3">
      <c r="A39" s="23" t="s">
        <v>40</v>
      </c>
      <c r="B39" s="24" t="s">
        <v>27</v>
      </c>
      <c r="C39" s="24">
        <v>937265</v>
      </c>
      <c r="D39" s="24">
        <v>2022</v>
      </c>
      <c r="E39" s="24" t="s">
        <v>66</v>
      </c>
      <c r="F39" s="38" t="s">
        <v>110</v>
      </c>
      <c r="G39" s="24" t="s">
        <v>284</v>
      </c>
      <c r="H39" s="24" t="s">
        <v>137</v>
      </c>
      <c r="I39" s="25">
        <v>2595.3000000000002</v>
      </c>
      <c r="J39" s="25">
        <v>7785.91</v>
      </c>
      <c r="K39" s="25">
        <v>0</v>
      </c>
      <c r="L39" s="26">
        <v>7785.91</v>
      </c>
      <c r="M39" s="47">
        <f t="shared" si="0"/>
        <v>0</v>
      </c>
    </row>
    <row r="40" spans="1:13" x14ac:dyDescent="0.3">
      <c r="A40" s="37" t="s">
        <v>40</v>
      </c>
      <c r="B40" s="38" t="s">
        <v>27</v>
      </c>
      <c r="C40" s="38">
        <v>937265</v>
      </c>
      <c r="D40" s="38">
        <v>2022</v>
      </c>
      <c r="E40" s="38" t="s">
        <v>67</v>
      </c>
      <c r="F40" s="38" t="s">
        <v>110</v>
      </c>
      <c r="G40" s="38" t="s">
        <v>284</v>
      </c>
      <c r="H40" s="38" t="s">
        <v>112</v>
      </c>
      <c r="I40" s="39">
        <v>2595.3000000000002</v>
      </c>
      <c r="J40" s="39">
        <v>10381.209999999999</v>
      </c>
      <c r="K40" s="39">
        <v>18920</v>
      </c>
      <c r="L40" s="40">
        <v>-8538.7900000000009</v>
      </c>
      <c r="M40" s="47">
        <f t="shared" si="0"/>
        <v>-8538.7900000000009</v>
      </c>
    </row>
    <row r="41" spans="1:13" x14ac:dyDescent="0.3">
      <c r="A41" s="23" t="s">
        <v>40</v>
      </c>
      <c r="B41" s="24" t="s">
        <v>27</v>
      </c>
      <c r="C41" s="24">
        <v>937265</v>
      </c>
      <c r="D41" s="24">
        <v>2022</v>
      </c>
      <c r="E41" s="24" t="s">
        <v>65</v>
      </c>
      <c r="F41" s="38" t="s">
        <v>110</v>
      </c>
      <c r="G41" s="24" t="s">
        <v>285</v>
      </c>
      <c r="H41" s="24" t="s">
        <v>133</v>
      </c>
      <c r="I41" s="25">
        <v>4344.8900000000003</v>
      </c>
      <c r="J41" s="25">
        <v>8689.7800000000007</v>
      </c>
      <c r="K41" s="25">
        <v>0</v>
      </c>
      <c r="L41" s="26">
        <v>8689.7800000000007</v>
      </c>
      <c r="M41" s="47">
        <f t="shared" si="0"/>
        <v>0</v>
      </c>
    </row>
    <row r="42" spans="1:13" x14ac:dyDescent="0.3">
      <c r="A42" s="37" t="s">
        <v>40</v>
      </c>
      <c r="B42" s="38" t="s">
        <v>27</v>
      </c>
      <c r="C42" s="38">
        <v>937265</v>
      </c>
      <c r="D42" s="38">
        <v>2022</v>
      </c>
      <c r="E42" s="38" t="s">
        <v>67</v>
      </c>
      <c r="F42" s="38" t="s">
        <v>110</v>
      </c>
      <c r="G42" s="38" t="s">
        <v>285</v>
      </c>
      <c r="H42" s="38" t="s">
        <v>133</v>
      </c>
      <c r="I42" s="39">
        <v>4344.8900000000003</v>
      </c>
      <c r="J42" s="39">
        <v>8689.7800000000007</v>
      </c>
      <c r="K42" s="39">
        <v>13280</v>
      </c>
      <c r="L42" s="40">
        <v>-4590.22</v>
      </c>
      <c r="M42" s="47">
        <f t="shared" si="0"/>
        <v>-4590.2199999999993</v>
      </c>
    </row>
    <row r="43" spans="1:13" x14ac:dyDescent="0.3">
      <c r="A43" s="23" t="s">
        <v>40</v>
      </c>
      <c r="B43" s="24" t="s">
        <v>27</v>
      </c>
      <c r="C43" s="24">
        <v>937265</v>
      </c>
      <c r="D43" s="24">
        <v>2022</v>
      </c>
      <c r="E43" s="24" t="s">
        <v>67</v>
      </c>
      <c r="F43" s="38" t="s">
        <v>110</v>
      </c>
      <c r="G43" s="24" t="s">
        <v>286</v>
      </c>
      <c r="H43" s="24" t="s">
        <v>116</v>
      </c>
      <c r="I43" s="25">
        <v>3471.62</v>
      </c>
      <c r="J43" s="25">
        <v>3471.62</v>
      </c>
      <c r="K43" s="25">
        <v>0</v>
      </c>
      <c r="L43" s="26">
        <v>3471.62</v>
      </c>
      <c r="M43" s="47">
        <f t="shared" si="0"/>
        <v>0</v>
      </c>
    </row>
    <row r="44" spans="1:13" x14ac:dyDescent="0.3">
      <c r="A44" s="37" t="s">
        <v>40</v>
      </c>
      <c r="B44" s="38" t="s">
        <v>27</v>
      </c>
      <c r="C44" s="38">
        <v>937265</v>
      </c>
      <c r="D44" s="38">
        <v>2022</v>
      </c>
      <c r="E44" s="38" t="s">
        <v>66</v>
      </c>
      <c r="F44" s="38" t="s">
        <v>110</v>
      </c>
      <c r="G44" s="38" t="s">
        <v>287</v>
      </c>
      <c r="H44" s="38" t="s">
        <v>164</v>
      </c>
      <c r="I44" s="39">
        <v>655.09</v>
      </c>
      <c r="J44" s="39">
        <v>5895.84</v>
      </c>
      <c r="K44" s="39">
        <v>0</v>
      </c>
      <c r="L44" s="40">
        <v>5895.84</v>
      </c>
      <c r="M44" s="47">
        <f t="shared" si="0"/>
        <v>0</v>
      </c>
    </row>
    <row r="45" spans="1:13" x14ac:dyDescent="0.3">
      <c r="A45" s="23" t="s">
        <v>40</v>
      </c>
      <c r="B45" s="24" t="s">
        <v>27</v>
      </c>
      <c r="C45" s="24">
        <v>937265</v>
      </c>
      <c r="D45" s="24">
        <v>2022</v>
      </c>
      <c r="E45" s="24" t="s">
        <v>65</v>
      </c>
      <c r="F45" s="38" t="s">
        <v>110</v>
      </c>
      <c r="G45" s="24" t="s">
        <v>287</v>
      </c>
      <c r="H45" s="24" t="s">
        <v>112</v>
      </c>
      <c r="I45" s="25">
        <v>655.09</v>
      </c>
      <c r="J45" s="25">
        <v>2620.37</v>
      </c>
      <c r="K45" s="25">
        <v>0</v>
      </c>
      <c r="L45" s="26">
        <v>2620.37</v>
      </c>
      <c r="M45" s="47">
        <f t="shared" si="0"/>
        <v>0</v>
      </c>
    </row>
    <row r="46" spans="1:13" x14ac:dyDescent="0.3">
      <c r="A46" s="37" t="s">
        <v>40</v>
      </c>
      <c r="B46" s="38" t="s">
        <v>27</v>
      </c>
      <c r="C46" s="38">
        <v>937265</v>
      </c>
      <c r="D46" s="38">
        <v>2022</v>
      </c>
      <c r="E46" s="38" t="s">
        <v>67</v>
      </c>
      <c r="F46" s="38" t="s">
        <v>110</v>
      </c>
      <c r="G46" s="38" t="s">
        <v>287</v>
      </c>
      <c r="H46" s="38" t="s">
        <v>112</v>
      </c>
      <c r="I46" s="39">
        <v>655.09</v>
      </c>
      <c r="J46" s="39">
        <v>2620.37</v>
      </c>
      <c r="K46" s="39">
        <v>0</v>
      </c>
      <c r="L46" s="40">
        <v>2620.37</v>
      </c>
      <c r="M46" s="47">
        <f t="shared" si="0"/>
        <v>0</v>
      </c>
    </row>
    <row r="47" spans="1:13" x14ac:dyDescent="0.3">
      <c r="A47" s="23" t="s">
        <v>40</v>
      </c>
      <c r="B47" s="24" t="s">
        <v>27</v>
      </c>
      <c r="C47" s="24">
        <v>937265</v>
      </c>
      <c r="D47" s="24">
        <v>2022</v>
      </c>
      <c r="E47" s="24" t="s">
        <v>65</v>
      </c>
      <c r="F47" s="38" t="s">
        <v>110</v>
      </c>
      <c r="G47" s="24" t="s">
        <v>288</v>
      </c>
      <c r="H47" s="24" t="s">
        <v>114</v>
      </c>
      <c r="I47" s="25">
        <v>2510.2199999999998</v>
      </c>
      <c r="J47" s="25">
        <v>12551.12</v>
      </c>
      <c r="K47" s="25">
        <v>0</v>
      </c>
      <c r="L47" s="26">
        <v>12551.12</v>
      </c>
      <c r="M47" s="47">
        <f t="shared" si="0"/>
        <v>0</v>
      </c>
    </row>
    <row r="48" spans="1:13" x14ac:dyDescent="0.3">
      <c r="A48" s="37" t="s">
        <v>40</v>
      </c>
      <c r="B48" s="38" t="s">
        <v>27</v>
      </c>
      <c r="C48" s="38">
        <v>937265</v>
      </c>
      <c r="D48" s="38">
        <v>2022</v>
      </c>
      <c r="E48" s="38" t="s">
        <v>66</v>
      </c>
      <c r="F48" s="38" t="s">
        <v>110</v>
      </c>
      <c r="G48" s="38" t="s">
        <v>288</v>
      </c>
      <c r="H48" s="38" t="s">
        <v>164</v>
      </c>
      <c r="I48" s="39">
        <v>2510.2199999999998</v>
      </c>
      <c r="J48" s="39">
        <v>22592.01</v>
      </c>
      <c r="K48" s="39">
        <v>0</v>
      </c>
      <c r="L48" s="40">
        <v>22592.01</v>
      </c>
      <c r="M48" s="47">
        <f t="shared" si="0"/>
        <v>0</v>
      </c>
    </row>
    <row r="49" spans="1:13" x14ac:dyDescent="0.3">
      <c r="A49" s="23" t="s">
        <v>40</v>
      </c>
      <c r="B49" s="24" t="s">
        <v>27</v>
      </c>
      <c r="C49" s="24">
        <v>937265</v>
      </c>
      <c r="D49" s="24">
        <v>2022</v>
      </c>
      <c r="E49" s="24" t="s">
        <v>67</v>
      </c>
      <c r="F49" s="38" t="s">
        <v>110</v>
      </c>
      <c r="G49" s="24" t="s">
        <v>288</v>
      </c>
      <c r="H49" s="24" t="s">
        <v>114</v>
      </c>
      <c r="I49" s="25">
        <v>2510.2199999999998</v>
      </c>
      <c r="J49" s="25">
        <v>12551.12</v>
      </c>
      <c r="K49" s="25">
        <v>0</v>
      </c>
      <c r="L49" s="26">
        <v>12551.12</v>
      </c>
      <c r="M49" s="47">
        <f t="shared" si="0"/>
        <v>0</v>
      </c>
    </row>
    <row r="50" spans="1:13" x14ac:dyDescent="0.3">
      <c r="A50" s="37" t="s">
        <v>40</v>
      </c>
      <c r="B50" s="38" t="s">
        <v>27</v>
      </c>
      <c r="C50" s="38">
        <v>937265</v>
      </c>
      <c r="D50" s="38">
        <v>2022</v>
      </c>
      <c r="E50" s="38" t="s">
        <v>67</v>
      </c>
      <c r="F50" s="38" t="s">
        <v>110</v>
      </c>
      <c r="G50" s="38" t="s">
        <v>289</v>
      </c>
      <c r="H50" s="38" t="s">
        <v>290</v>
      </c>
      <c r="I50" s="39">
        <v>595</v>
      </c>
      <c r="J50" s="39">
        <v>154700</v>
      </c>
      <c r="K50" s="39">
        <v>154700</v>
      </c>
      <c r="L50" s="40">
        <v>0</v>
      </c>
      <c r="M50" s="47">
        <f t="shared" si="0"/>
        <v>0</v>
      </c>
    </row>
    <row r="51" spans="1:13" x14ac:dyDescent="0.3">
      <c r="A51" s="23" t="s">
        <v>40</v>
      </c>
      <c r="B51" s="24" t="s">
        <v>27</v>
      </c>
      <c r="C51" s="24">
        <v>937265</v>
      </c>
      <c r="D51" s="24">
        <v>2022</v>
      </c>
      <c r="E51" s="24" t="s">
        <v>65</v>
      </c>
      <c r="F51" s="38" t="s">
        <v>110</v>
      </c>
      <c r="G51" s="24" t="s">
        <v>291</v>
      </c>
      <c r="H51" s="24" t="s">
        <v>114</v>
      </c>
      <c r="I51" s="25">
        <v>3818</v>
      </c>
      <c r="J51" s="25">
        <v>19090</v>
      </c>
      <c r="K51" s="25">
        <v>80178</v>
      </c>
      <c r="L51" s="26">
        <v>-61088</v>
      </c>
      <c r="M51" s="47">
        <f t="shared" si="0"/>
        <v>-61088</v>
      </c>
    </row>
    <row r="52" spans="1:13" x14ac:dyDescent="0.3">
      <c r="A52" s="37" t="s">
        <v>40</v>
      </c>
      <c r="B52" s="38" t="s">
        <v>27</v>
      </c>
      <c r="C52" s="38">
        <v>937265</v>
      </c>
      <c r="D52" s="38">
        <v>2022</v>
      </c>
      <c r="E52" s="38" t="s">
        <v>66</v>
      </c>
      <c r="F52" s="38" t="s">
        <v>110</v>
      </c>
      <c r="G52" s="38" t="s">
        <v>291</v>
      </c>
      <c r="H52" s="38" t="s">
        <v>164</v>
      </c>
      <c r="I52" s="39">
        <v>3818</v>
      </c>
      <c r="J52" s="39">
        <v>34362</v>
      </c>
      <c r="K52" s="39">
        <v>0</v>
      </c>
      <c r="L52" s="40">
        <v>34362</v>
      </c>
      <c r="M52" s="47">
        <f t="shared" si="0"/>
        <v>0</v>
      </c>
    </row>
    <row r="53" spans="1:13" x14ac:dyDescent="0.3">
      <c r="A53" s="23" t="s">
        <v>40</v>
      </c>
      <c r="B53" s="24" t="s">
        <v>27</v>
      </c>
      <c r="C53" s="24">
        <v>937265</v>
      </c>
      <c r="D53" s="24">
        <v>2022</v>
      </c>
      <c r="E53" s="24" t="s">
        <v>67</v>
      </c>
      <c r="F53" s="38" t="s">
        <v>110</v>
      </c>
      <c r="G53" s="24" t="s">
        <v>291</v>
      </c>
      <c r="H53" s="24" t="s">
        <v>244</v>
      </c>
      <c r="I53" s="25">
        <v>3818</v>
      </c>
      <c r="J53" s="25">
        <v>26726</v>
      </c>
      <c r="K53" s="25">
        <v>0</v>
      </c>
      <c r="L53" s="26">
        <v>26726</v>
      </c>
      <c r="M53" s="47">
        <f t="shared" si="0"/>
        <v>0</v>
      </c>
    </row>
    <row r="54" spans="1:13" x14ac:dyDescent="0.3">
      <c r="A54" s="37" t="s">
        <v>40</v>
      </c>
      <c r="B54" s="38" t="s">
        <v>27</v>
      </c>
      <c r="C54" s="38">
        <v>937265</v>
      </c>
      <c r="D54" s="38">
        <v>2022</v>
      </c>
      <c r="E54" s="38" t="s">
        <v>65</v>
      </c>
      <c r="F54" s="38" t="s">
        <v>110</v>
      </c>
      <c r="G54" s="38" t="s">
        <v>292</v>
      </c>
      <c r="H54" s="38" t="s">
        <v>137</v>
      </c>
      <c r="I54" s="39">
        <v>360.18</v>
      </c>
      <c r="J54" s="39">
        <v>1080.53</v>
      </c>
      <c r="K54" s="39">
        <v>0</v>
      </c>
      <c r="L54" s="40">
        <v>1080.53</v>
      </c>
      <c r="M54" s="47">
        <f t="shared" si="0"/>
        <v>0</v>
      </c>
    </row>
    <row r="55" spans="1:13" x14ac:dyDescent="0.3">
      <c r="A55" s="23" t="s">
        <v>40</v>
      </c>
      <c r="B55" s="24" t="s">
        <v>27</v>
      </c>
      <c r="C55" s="24">
        <v>937265</v>
      </c>
      <c r="D55" s="24">
        <v>2022</v>
      </c>
      <c r="E55" s="24" t="s">
        <v>67</v>
      </c>
      <c r="F55" s="38" t="s">
        <v>110</v>
      </c>
      <c r="G55" s="24" t="s">
        <v>292</v>
      </c>
      <c r="H55" s="24" t="s">
        <v>137</v>
      </c>
      <c r="I55" s="25">
        <v>360.18</v>
      </c>
      <c r="J55" s="25">
        <v>1080.53</v>
      </c>
      <c r="K55" s="25">
        <v>0</v>
      </c>
      <c r="L55" s="26">
        <v>1080.53</v>
      </c>
      <c r="M55" s="47">
        <f t="shared" si="0"/>
        <v>0</v>
      </c>
    </row>
    <row r="56" spans="1:13" x14ac:dyDescent="0.3">
      <c r="A56" s="37" t="s">
        <v>40</v>
      </c>
      <c r="B56" s="38" t="s">
        <v>27</v>
      </c>
      <c r="C56" s="38">
        <v>937265</v>
      </c>
      <c r="D56" s="38">
        <v>2022</v>
      </c>
      <c r="E56" s="38" t="s">
        <v>65</v>
      </c>
      <c r="F56" s="38" t="s">
        <v>110</v>
      </c>
      <c r="G56" s="38" t="s">
        <v>293</v>
      </c>
      <c r="H56" s="38" t="s">
        <v>133</v>
      </c>
      <c r="I56" s="39">
        <v>1848.36</v>
      </c>
      <c r="J56" s="39">
        <v>3696.71</v>
      </c>
      <c r="K56" s="39">
        <v>0</v>
      </c>
      <c r="L56" s="40">
        <v>3696.71</v>
      </c>
      <c r="M56" s="47">
        <f t="shared" si="0"/>
        <v>0</v>
      </c>
    </row>
    <row r="57" spans="1:13" x14ac:dyDescent="0.3">
      <c r="A57" s="23" t="s">
        <v>40</v>
      </c>
      <c r="B57" s="24" t="s">
        <v>27</v>
      </c>
      <c r="C57" s="24">
        <v>937265</v>
      </c>
      <c r="D57" s="24">
        <v>2022</v>
      </c>
      <c r="E57" s="24" t="s">
        <v>65</v>
      </c>
      <c r="F57" s="38" t="s">
        <v>110</v>
      </c>
      <c r="G57" s="24" t="s">
        <v>294</v>
      </c>
      <c r="H57" s="24" t="s">
        <v>116</v>
      </c>
      <c r="I57" s="25">
        <v>3890</v>
      </c>
      <c r="J57" s="25">
        <v>3890</v>
      </c>
      <c r="K57" s="25">
        <v>2999.99</v>
      </c>
      <c r="L57" s="26">
        <v>3890</v>
      </c>
      <c r="M57" s="47">
        <f t="shared" si="0"/>
        <v>890.01000000000022</v>
      </c>
    </row>
    <row r="58" spans="1:13" x14ac:dyDescent="0.3">
      <c r="A58" s="37" t="s">
        <v>40</v>
      </c>
      <c r="B58" s="38" t="s">
        <v>27</v>
      </c>
      <c r="C58" s="38">
        <v>937265</v>
      </c>
      <c r="D58" s="38">
        <v>2022</v>
      </c>
      <c r="E58" s="38" t="s">
        <v>67</v>
      </c>
      <c r="F58" s="38" t="s">
        <v>110</v>
      </c>
      <c r="G58" s="38" t="s">
        <v>294</v>
      </c>
      <c r="H58" s="38" t="s">
        <v>116</v>
      </c>
      <c r="I58" s="39">
        <v>3890</v>
      </c>
      <c r="J58" s="39">
        <v>3890</v>
      </c>
      <c r="K58" s="39">
        <v>2999.99</v>
      </c>
      <c r="L58" s="40">
        <v>3890</v>
      </c>
      <c r="M58" s="47">
        <f t="shared" si="0"/>
        <v>890.01000000000022</v>
      </c>
    </row>
    <row r="59" spans="1:13" x14ac:dyDescent="0.3">
      <c r="A59" s="23" t="s">
        <v>40</v>
      </c>
      <c r="B59" s="24" t="s">
        <v>27</v>
      </c>
      <c r="C59" s="24">
        <v>937265</v>
      </c>
      <c r="D59" s="24">
        <v>2022</v>
      </c>
      <c r="E59" s="24" t="s">
        <v>65</v>
      </c>
      <c r="F59" s="38" t="s">
        <v>110</v>
      </c>
      <c r="G59" s="24" t="s">
        <v>295</v>
      </c>
      <c r="H59" s="24" t="s">
        <v>133</v>
      </c>
      <c r="I59" s="25">
        <v>1239.5999999999999</v>
      </c>
      <c r="J59" s="25">
        <v>2479.1999999999998</v>
      </c>
      <c r="K59" s="25">
        <v>0</v>
      </c>
      <c r="L59" s="26">
        <v>2479.1999999999998</v>
      </c>
      <c r="M59" s="47">
        <f t="shared" si="0"/>
        <v>0</v>
      </c>
    </row>
    <row r="60" spans="1:13" x14ac:dyDescent="0.3">
      <c r="A60" s="37" t="s">
        <v>40</v>
      </c>
      <c r="B60" s="38" t="s">
        <v>27</v>
      </c>
      <c r="C60" s="38">
        <v>937265</v>
      </c>
      <c r="D60" s="38">
        <v>2022</v>
      </c>
      <c r="E60" s="38" t="s">
        <v>67</v>
      </c>
      <c r="F60" s="38" t="s">
        <v>110</v>
      </c>
      <c r="G60" s="38" t="s">
        <v>295</v>
      </c>
      <c r="H60" s="38" t="s">
        <v>137</v>
      </c>
      <c r="I60" s="39">
        <v>1239.5999999999999</v>
      </c>
      <c r="J60" s="39">
        <v>3718.8</v>
      </c>
      <c r="K60" s="39">
        <v>0</v>
      </c>
      <c r="L60" s="40">
        <v>3718.8</v>
      </c>
      <c r="M60" s="47">
        <f t="shared" si="0"/>
        <v>0</v>
      </c>
    </row>
    <row r="61" spans="1:13" x14ac:dyDescent="0.3">
      <c r="A61" s="23" t="s">
        <v>40</v>
      </c>
      <c r="B61" s="24" t="s">
        <v>27</v>
      </c>
      <c r="C61" s="24">
        <v>937265</v>
      </c>
      <c r="D61" s="24">
        <v>2022</v>
      </c>
      <c r="E61" s="24" t="s">
        <v>65</v>
      </c>
      <c r="F61" s="38" t="s">
        <v>110</v>
      </c>
      <c r="G61" s="24" t="s">
        <v>296</v>
      </c>
      <c r="H61" s="24" t="s">
        <v>133</v>
      </c>
      <c r="I61" s="25">
        <v>533.79999999999995</v>
      </c>
      <c r="J61" s="25">
        <v>1067.5999999999999</v>
      </c>
      <c r="K61" s="25">
        <v>0</v>
      </c>
      <c r="L61" s="26">
        <v>1067.5999999999999</v>
      </c>
      <c r="M61" s="47">
        <f t="shared" si="0"/>
        <v>0</v>
      </c>
    </row>
    <row r="62" spans="1:13" x14ac:dyDescent="0.3">
      <c r="A62" s="37" t="s">
        <v>40</v>
      </c>
      <c r="B62" s="38" t="s">
        <v>27</v>
      </c>
      <c r="C62" s="38">
        <v>937265</v>
      </c>
      <c r="D62" s="38">
        <v>2022</v>
      </c>
      <c r="E62" s="38" t="s">
        <v>66</v>
      </c>
      <c r="F62" s="38" t="s">
        <v>110</v>
      </c>
      <c r="G62" s="38" t="s">
        <v>296</v>
      </c>
      <c r="H62" s="38" t="s">
        <v>133</v>
      </c>
      <c r="I62" s="39">
        <v>533.79999999999995</v>
      </c>
      <c r="J62" s="39">
        <v>1067.5999999999999</v>
      </c>
      <c r="K62" s="39">
        <v>0</v>
      </c>
      <c r="L62" s="40">
        <v>1067.5999999999999</v>
      </c>
      <c r="M62" s="47">
        <f t="shared" si="0"/>
        <v>0</v>
      </c>
    </row>
    <row r="63" spans="1:13" x14ac:dyDescent="0.3">
      <c r="A63" s="23" t="s">
        <v>40</v>
      </c>
      <c r="B63" s="24" t="s">
        <v>27</v>
      </c>
      <c r="C63" s="24">
        <v>937265</v>
      </c>
      <c r="D63" s="24">
        <v>2022</v>
      </c>
      <c r="E63" s="24" t="s">
        <v>66</v>
      </c>
      <c r="F63" s="38" t="s">
        <v>110</v>
      </c>
      <c r="G63" s="24" t="s">
        <v>297</v>
      </c>
      <c r="H63" s="24" t="s">
        <v>114</v>
      </c>
      <c r="I63" s="25">
        <v>1527.06</v>
      </c>
      <c r="J63" s="25">
        <v>7635.3</v>
      </c>
      <c r="K63" s="25">
        <v>7635.3</v>
      </c>
      <c r="L63" s="26">
        <v>0</v>
      </c>
      <c r="M63" s="47">
        <f t="shared" si="0"/>
        <v>0</v>
      </c>
    </row>
    <row r="64" spans="1:13" x14ac:dyDescent="0.3">
      <c r="A64" s="37" t="s">
        <v>40</v>
      </c>
      <c r="B64" s="38" t="s">
        <v>27</v>
      </c>
      <c r="C64" s="38">
        <v>937265</v>
      </c>
      <c r="D64" s="38">
        <v>2022</v>
      </c>
      <c r="E64" s="38" t="s">
        <v>65</v>
      </c>
      <c r="F64" s="38" t="s">
        <v>110</v>
      </c>
      <c r="G64" s="38" t="s">
        <v>297</v>
      </c>
      <c r="H64" s="38" t="s">
        <v>114</v>
      </c>
      <c r="I64" s="39">
        <v>1527.06</v>
      </c>
      <c r="J64" s="39">
        <v>7635.3</v>
      </c>
      <c r="K64" s="39">
        <v>7635.3</v>
      </c>
      <c r="L64" s="40">
        <v>0</v>
      </c>
      <c r="M64" s="47">
        <f t="shared" si="0"/>
        <v>0</v>
      </c>
    </row>
    <row r="65" spans="1:13" x14ac:dyDescent="0.3">
      <c r="A65" s="23" t="s">
        <v>40</v>
      </c>
      <c r="B65" s="24" t="s">
        <v>27</v>
      </c>
      <c r="C65" s="24">
        <v>937265</v>
      </c>
      <c r="D65" s="24">
        <v>2022</v>
      </c>
      <c r="E65" s="24" t="s">
        <v>67</v>
      </c>
      <c r="F65" s="38" t="s">
        <v>110</v>
      </c>
      <c r="G65" s="24" t="s">
        <v>297</v>
      </c>
      <c r="H65" s="24" t="s">
        <v>114</v>
      </c>
      <c r="I65" s="25">
        <v>1527.06</v>
      </c>
      <c r="J65" s="25">
        <v>7635.3</v>
      </c>
      <c r="K65" s="25">
        <v>7635.3</v>
      </c>
      <c r="L65" s="26">
        <v>0</v>
      </c>
      <c r="M65" s="47">
        <f t="shared" si="0"/>
        <v>0</v>
      </c>
    </row>
    <row r="66" spans="1:13" x14ac:dyDescent="0.3">
      <c r="A66" s="37" t="s">
        <v>40</v>
      </c>
      <c r="B66" s="38" t="s">
        <v>27</v>
      </c>
      <c r="C66" s="38">
        <v>937265</v>
      </c>
      <c r="D66" s="38">
        <v>2022</v>
      </c>
      <c r="E66" s="38" t="s">
        <v>65</v>
      </c>
      <c r="F66" s="38" t="s">
        <v>110</v>
      </c>
      <c r="G66" s="38" t="s">
        <v>298</v>
      </c>
      <c r="H66" s="38" t="s">
        <v>116</v>
      </c>
      <c r="I66" s="39">
        <v>1490.86</v>
      </c>
      <c r="J66" s="39">
        <v>1490.86</v>
      </c>
      <c r="K66" s="39">
        <v>0</v>
      </c>
      <c r="L66" s="40">
        <v>1490.86</v>
      </c>
      <c r="M66" s="47">
        <f t="shared" si="0"/>
        <v>0</v>
      </c>
    </row>
    <row r="67" spans="1:13" x14ac:dyDescent="0.3">
      <c r="A67" s="23" t="s">
        <v>40</v>
      </c>
      <c r="B67" s="24" t="s">
        <v>27</v>
      </c>
      <c r="C67" s="24">
        <v>937265</v>
      </c>
      <c r="D67" s="24">
        <v>2022</v>
      </c>
      <c r="E67" s="24" t="s">
        <v>67</v>
      </c>
      <c r="F67" s="38" t="s">
        <v>110</v>
      </c>
      <c r="G67" s="24" t="s">
        <v>298</v>
      </c>
      <c r="H67" s="24" t="s">
        <v>116</v>
      </c>
      <c r="I67" s="25">
        <v>1490.86</v>
      </c>
      <c r="J67" s="25">
        <v>1490.86</v>
      </c>
      <c r="K67" s="25">
        <v>1230</v>
      </c>
      <c r="L67" s="26">
        <v>260.86</v>
      </c>
      <c r="M67" s="47">
        <f t="shared" ref="M67:M73" si="1">IF(E67="N/A", J67, IF(OR(K67=0, ISBLANK(K67), K67=""), 0, J67-K67))</f>
        <v>260.8599999999999</v>
      </c>
    </row>
    <row r="68" spans="1:13" x14ac:dyDescent="0.3">
      <c r="A68" s="37" t="s">
        <v>40</v>
      </c>
      <c r="B68" s="38" t="s">
        <v>27</v>
      </c>
      <c r="C68" s="38">
        <v>937265</v>
      </c>
      <c r="D68" s="38">
        <v>2022</v>
      </c>
      <c r="E68" s="38" t="s">
        <v>65</v>
      </c>
      <c r="F68" s="38" t="s">
        <v>110</v>
      </c>
      <c r="G68" s="38" t="s">
        <v>195</v>
      </c>
      <c r="H68" s="38" t="s">
        <v>133</v>
      </c>
      <c r="I68" s="39">
        <v>3557</v>
      </c>
      <c r="J68" s="39">
        <v>7114</v>
      </c>
      <c r="K68" s="39">
        <v>0</v>
      </c>
      <c r="L68" s="40">
        <v>7114</v>
      </c>
      <c r="M68" s="47">
        <f t="shared" si="1"/>
        <v>0</v>
      </c>
    </row>
    <row r="69" spans="1:13" x14ac:dyDescent="0.3">
      <c r="A69" s="23" t="s">
        <v>40</v>
      </c>
      <c r="B69" s="24" t="s">
        <v>27</v>
      </c>
      <c r="C69" s="24">
        <v>937265</v>
      </c>
      <c r="D69" s="24">
        <v>2022</v>
      </c>
      <c r="E69" s="24" t="s">
        <v>67</v>
      </c>
      <c r="F69" s="38" t="s">
        <v>110</v>
      </c>
      <c r="G69" s="24" t="s">
        <v>195</v>
      </c>
      <c r="H69" s="24" t="s">
        <v>133</v>
      </c>
      <c r="I69" s="25">
        <v>3557</v>
      </c>
      <c r="J69" s="25">
        <v>7114</v>
      </c>
      <c r="K69" s="25">
        <v>14228</v>
      </c>
      <c r="L69" s="26">
        <v>-7114</v>
      </c>
      <c r="M69" s="47">
        <f t="shared" si="1"/>
        <v>-7114</v>
      </c>
    </row>
    <row r="70" spans="1:13" x14ac:dyDescent="0.3">
      <c r="A70" s="37" t="s">
        <v>40</v>
      </c>
      <c r="B70" s="38" t="s">
        <v>27</v>
      </c>
      <c r="C70" s="38">
        <v>937265</v>
      </c>
      <c r="D70" s="38">
        <v>2022</v>
      </c>
      <c r="E70" s="38" t="s">
        <v>65</v>
      </c>
      <c r="F70" s="38" t="s">
        <v>110</v>
      </c>
      <c r="G70" s="38" t="s">
        <v>299</v>
      </c>
      <c r="H70" s="38" t="s">
        <v>114</v>
      </c>
      <c r="I70" s="39">
        <v>337.51</v>
      </c>
      <c r="J70" s="39">
        <v>1687.54</v>
      </c>
      <c r="K70" s="39">
        <v>0</v>
      </c>
      <c r="L70" s="40">
        <v>1687.54</v>
      </c>
      <c r="M70" s="47">
        <f t="shared" si="1"/>
        <v>0</v>
      </c>
    </row>
    <row r="71" spans="1:13" x14ac:dyDescent="0.3">
      <c r="A71" s="23" t="s">
        <v>40</v>
      </c>
      <c r="B71" s="24" t="s">
        <v>27</v>
      </c>
      <c r="C71" s="24">
        <v>937265</v>
      </c>
      <c r="D71" s="24">
        <v>2022</v>
      </c>
      <c r="E71" s="24" t="s">
        <v>65</v>
      </c>
      <c r="F71" s="38" t="s">
        <v>110</v>
      </c>
      <c r="G71" s="24" t="s">
        <v>300</v>
      </c>
      <c r="H71" s="24" t="s">
        <v>114</v>
      </c>
      <c r="I71" s="25">
        <v>271.83</v>
      </c>
      <c r="J71" s="25">
        <v>1359.15</v>
      </c>
      <c r="K71" s="25">
        <v>0</v>
      </c>
      <c r="L71" s="26">
        <v>1359.15</v>
      </c>
      <c r="M71" s="47">
        <f t="shared" si="1"/>
        <v>0</v>
      </c>
    </row>
    <row r="72" spans="1:13" x14ac:dyDescent="0.3">
      <c r="A72" s="37" t="s">
        <v>40</v>
      </c>
      <c r="B72" s="38" t="s">
        <v>27</v>
      </c>
      <c r="C72" s="38">
        <v>937265</v>
      </c>
      <c r="D72" s="38">
        <v>2022</v>
      </c>
      <c r="E72" s="38" t="s">
        <v>66</v>
      </c>
      <c r="F72" s="38" t="s">
        <v>110</v>
      </c>
      <c r="G72" s="38" t="s">
        <v>301</v>
      </c>
      <c r="H72" s="38" t="s">
        <v>116</v>
      </c>
      <c r="I72" s="39">
        <v>1093.8399999999999</v>
      </c>
      <c r="J72" s="39">
        <v>1093.8399999999999</v>
      </c>
      <c r="K72" s="39">
        <v>0</v>
      </c>
      <c r="L72" s="40">
        <v>1093.8399999999999</v>
      </c>
      <c r="M72" s="47">
        <f t="shared" si="1"/>
        <v>0</v>
      </c>
    </row>
    <row r="73" spans="1:13" x14ac:dyDescent="0.3">
      <c r="A73" s="23" t="s">
        <v>40</v>
      </c>
      <c r="B73" s="24" t="s">
        <v>27</v>
      </c>
      <c r="C73" s="24">
        <v>937265</v>
      </c>
      <c r="D73" s="24">
        <v>2022</v>
      </c>
      <c r="E73" s="24" t="s">
        <v>65</v>
      </c>
      <c r="F73" s="38" t="s">
        <v>110</v>
      </c>
      <c r="G73" s="24" t="s">
        <v>302</v>
      </c>
      <c r="H73" s="24" t="s">
        <v>116</v>
      </c>
      <c r="I73" s="25">
        <v>1664.54</v>
      </c>
      <c r="J73" s="25">
        <v>1664.54</v>
      </c>
      <c r="K73" s="25">
        <v>0</v>
      </c>
      <c r="L73" s="26">
        <v>1664.54</v>
      </c>
      <c r="M73" s="47">
        <f t="shared" si="1"/>
        <v>0</v>
      </c>
    </row>
    <row r="74" spans="1:13" x14ac:dyDescent="0.3">
      <c r="A74" s="37"/>
      <c r="B74" s="38"/>
      <c r="C74" s="38"/>
      <c r="D74" s="38"/>
      <c r="E74" s="38"/>
      <c r="F74" s="38"/>
      <c r="G74" s="38"/>
      <c r="H74" s="38"/>
      <c r="I74" s="39"/>
      <c r="J74" s="39"/>
      <c r="K74" s="39"/>
      <c r="L74" s="40"/>
    </row>
    <row r="75" spans="1:13" x14ac:dyDescent="0.3">
      <c r="A75" s="23"/>
      <c r="B75" s="24"/>
      <c r="C75" s="24"/>
      <c r="D75" s="24"/>
      <c r="E75" s="24"/>
      <c r="F75" s="24"/>
      <c r="G75" s="24"/>
      <c r="H75" s="24"/>
      <c r="I75" s="25"/>
      <c r="J75" s="25"/>
      <c r="K75" s="25"/>
      <c r="L75" s="26"/>
    </row>
    <row r="76" spans="1:13" x14ac:dyDescent="0.3">
      <c r="A76" s="37"/>
      <c r="B76" s="38"/>
      <c r="C76" s="38"/>
      <c r="D76" s="38"/>
      <c r="E76" s="38"/>
      <c r="F76" s="38"/>
      <c r="G76" s="38"/>
      <c r="H76" s="38"/>
      <c r="I76" s="39"/>
      <c r="J76" s="39"/>
      <c r="K76" s="39"/>
      <c r="L76" s="40"/>
    </row>
    <row r="77" spans="1:13" x14ac:dyDescent="0.3">
      <c r="A77" s="23"/>
      <c r="B77" s="24"/>
      <c r="C77" s="24"/>
      <c r="D77" s="24"/>
      <c r="E77" s="24"/>
      <c r="F77" s="24"/>
      <c r="G77" s="24"/>
      <c r="H77" s="24"/>
      <c r="I77" s="25"/>
      <c r="J77" s="25"/>
      <c r="K77" s="25"/>
      <c r="L77" s="26"/>
    </row>
  </sheetData>
  <autoFilter ref="A1:M73" xr:uid="{D1CF666E-167E-4E15-8541-0D1533A82BC2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9250-D4D5-4EF6-8EF9-5EADAF8441B4}">
  <dimension ref="A1:M48"/>
  <sheetViews>
    <sheetView zoomScale="70" zoomScaleNormal="70" workbookViewId="0">
      <selection sqref="A1:M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4.59765625" style="3" customWidth="1"/>
    <col min="13" max="13" width="15.8984375" bestFit="1" customWidth="1"/>
  </cols>
  <sheetData>
    <row r="1" spans="1:13" ht="46.8" x14ac:dyDescent="0.3">
      <c r="A1" s="9" t="s">
        <v>0</v>
      </c>
      <c r="B1" s="10" t="s">
        <v>1</v>
      </c>
      <c r="C1" s="10" t="s">
        <v>2</v>
      </c>
      <c r="D1" s="10" t="s">
        <v>3</v>
      </c>
      <c r="E1" s="27" t="s">
        <v>94</v>
      </c>
      <c r="F1" s="27" t="s">
        <v>95</v>
      </c>
      <c r="G1" s="27" t="s">
        <v>96</v>
      </c>
      <c r="H1" s="27" t="s">
        <v>97</v>
      </c>
      <c r="I1" s="28" t="s">
        <v>98</v>
      </c>
      <c r="J1" s="28" t="s">
        <v>99</v>
      </c>
      <c r="K1" s="28" t="s">
        <v>100</v>
      </c>
      <c r="L1" s="29" t="s">
        <v>101</v>
      </c>
      <c r="M1" s="46" t="s">
        <v>102</v>
      </c>
    </row>
    <row r="2" spans="1:13" x14ac:dyDescent="0.3">
      <c r="A2" s="17" t="s">
        <v>42</v>
      </c>
      <c r="B2" s="18" t="s">
        <v>27</v>
      </c>
      <c r="C2" s="18">
        <v>938128</v>
      </c>
      <c r="D2" s="18">
        <v>2022</v>
      </c>
      <c r="E2" s="18" t="s">
        <v>66</v>
      </c>
      <c r="F2" s="18" t="s">
        <v>103</v>
      </c>
      <c r="G2" s="18" t="s">
        <v>303</v>
      </c>
      <c r="H2" s="18" t="s">
        <v>133</v>
      </c>
      <c r="I2" s="30">
        <v>112.37</v>
      </c>
      <c r="J2" s="30">
        <v>224.74</v>
      </c>
      <c r="K2" s="30"/>
      <c r="L2" s="31">
        <f t="shared" ref="L2:L41" si="0">J2-K2</f>
        <v>224.74</v>
      </c>
      <c r="M2" s="47">
        <f t="shared" ref="M2:M42" si="1">IF(E2="N/A", J2, IF(OR(K2=0, ISBLANK(K2), K2=""), 0, J2-K2))</f>
        <v>0</v>
      </c>
    </row>
    <row r="3" spans="1:13" x14ac:dyDescent="0.3">
      <c r="A3" s="5" t="s">
        <v>42</v>
      </c>
      <c r="B3" s="6" t="s">
        <v>27</v>
      </c>
      <c r="C3" s="6">
        <v>938128</v>
      </c>
      <c r="D3" s="6">
        <v>2022</v>
      </c>
      <c r="E3" s="6" t="s">
        <v>66</v>
      </c>
      <c r="F3" s="18" t="s">
        <v>103</v>
      </c>
      <c r="G3" s="6" t="s">
        <v>304</v>
      </c>
      <c r="H3" s="6" t="s">
        <v>137</v>
      </c>
      <c r="I3" s="7">
        <v>127.23</v>
      </c>
      <c r="J3" s="7">
        <v>381.69</v>
      </c>
      <c r="K3" s="7"/>
      <c r="L3" s="31">
        <f t="shared" si="0"/>
        <v>381.69</v>
      </c>
      <c r="M3" s="47">
        <f t="shared" si="1"/>
        <v>0</v>
      </c>
    </row>
    <row r="4" spans="1:13" x14ac:dyDescent="0.3">
      <c r="A4" s="17" t="s">
        <v>42</v>
      </c>
      <c r="B4" s="18" t="s">
        <v>27</v>
      </c>
      <c r="C4" s="18">
        <v>938128</v>
      </c>
      <c r="D4" s="18">
        <v>2022</v>
      </c>
      <c r="E4" s="18" t="s">
        <v>67</v>
      </c>
      <c r="F4" s="18" t="s">
        <v>103</v>
      </c>
      <c r="G4" s="18" t="s">
        <v>305</v>
      </c>
      <c r="H4" s="18" t="s">
        <v>306</v>
      </c>
      <c r="I4" s="30">
        <v>2181.34</v>
      </c>
      <c r="J4" s="30">
        <v>545334.9</v>
      </c>
      <c r="K4" s="30">
        <v>190837.22</v>
      </c>
      <c r="L4" s="31">
        <f t="shared" si="0"/>
        <v>354497.68000000005</v>
      </c>
      <c r="M4" s="47">
        <f t="shared" si="1"/>
        <v>354497.68000000005</v>
      </c>
    </row>
    <row r="5" spans="1:13" x14ac:dyDescent="0.3">
      <c r="A5" s="17" t="s">
        <v>42</v>
      </c>
      <c r="B5" s="18" t="s">
        <v>27</v>
      </c>
      <c r="C5" s="18">
        <v>938128</v>
      </c>
      <c r="D5" s="18">
        <v>2022</v>
      </c>
      <c r="E5" s="18" t="s">
        <v>66</v>
      </c>
      <c r="F5" s="18" t="s">
        <v>103</v>
      </c>
      <c r="G5" s="18" t="s">
        <v>307</v>
      </c>
      <c r="H5" s="18">
        <v>40</v>
      </c>
      <c r="I5" s="30">
        <v>11425</v>
      </c>
      <c r="J5" s="30">
        <f>H5*I5</f>
        <v>457000</v>
      </c>
      <c r="K5" s="30">
        <v>0</v>
      </c>
      <c r="L5" s="31">
        <f t="shared" si="0"/>
        <v>457000</v>
      </c>
      <c r="M5" s="47">
        <f t="shared" si="1"/>
        <v>0</v>
      </c>
    </row>
    <row r="6" spans="1:13" x14ac:dyDescent="0.3">
      <c r="A6" s="17" t="s">
        <v>42</v>
      </c>
      <c r="B6" s="18" t="s">
        <v>27</v>
      </c>
      <c r="C6" s="18">
        <v>938128</v>
      </c>
      <c r="D6" s="18">
        <v>2022</v>
      </c>
      <c r="E6" s="18" t="s">
        <v>134</v>
      </c>
      <c r="F6" s="18" t="s">
        <v>103</v>
      </c>
      <c r="G6" s="18" t="s">
        <v>308</v>
      </c>
      <c r="H6" s="18" t="s">
        <v>116</v>
      </c>
      <c r="I6" s="30">
        <v>46233.82</v>
      </c>
      <c r="J6" s="30">
        <v>46233.82</v>
      </c>
      <c r="K6" s="30">
        <v>0</v>
      </c>
      <c r="L6" s="31">
        <f t="shared" si="0"/>
        <v>46233.82</v>
      </c>
      <c r="M6" s="47">
        <f t="shared" si="1"/>
        <v>46233.82</v>
      </c>
    </row>
    <row r="7" spans="1:13" x14ac:dyDescent="0.3">
      <c r="A7" s="5" t="s">
        <v>42</v>
      </c>
      <c r="B7" s="6" t="s">
        <v>27</v>
      </c>
      <c r="C7" s="6">
        <v>938128</v>
      </c>
      <c r="D7" s="6">
        <v>2022</v>
      </c>
      <c r="E7" s="6" t="s">
        <v>67</v>
      </c>
      <c r="F7" s="18" t="s">
        <v>103</v>
      </c>
      <c r="G7" s="6" t="s">
        <v>309</v>
      </c>
      <c r="H7" s="6" t="s">
        <v>310</v>
      </c>
      <c r="I7" s="7">
        <v>1350</v>
      </c>
      <c r="J7" s="7">
        <v>33750</v>
      </c>
      <c r="K7" s="7">
        <v>33750</v>
      </c>
      <c r="L7" s="31">
        <f t="shared" si="0"/>
        <v>0</v>
      </c>
      <c r="M7" s="47">
        <f t="shared" si="1"/>
        <v>0</v>
      </c>
    </row>
    <row r="8" spans="1:13" x14ac:dyDescent="0.3">
      <c r="A8" s="17" t="s">
        <v>42</v>
      </c>
      <c r="B8" s="18" t="s">
        <v>27</v>
      </c>
      <c r="C8" s="18">
        <v>938128</v>
      </c>
      <c r="D8" s="18">
        <v>2022</v>
      </c>
      <c r="E8" s="18" t="s">
        <v>67</v>
      </c>
      <c r="F8" s="18" t="s">
        <v>110</v>
      </c>
      <c r="G8" s="18" t="s">
        <v>311</v>
      </c>
      <c r="H8" s="18" t="s">
        <v>263</v>
      </c>
      <c r="I8" s="30">
        <v>107</v>
      </c>
      <c r="J8" s="30">
        <v>10700</v>
      </c>
      <c r="K8" s="30">
        <v>10700</v>
      </c>
      <c r="L8" s="31">
        <f t="shared" si="0"/>
        <v>0</v>
      </c>
      <c r="M8" s="47">
        <f t="shared" si="1"/>
        <v>0</v>
      </c>
    </row>
    <row r="9" spans="1:13" x14ac:dyDescent="0.3">
      <c r="A9" s="5" t="s">
        <v>42</v>
      </c>
      <c r="B9" s="6" t="s">
        <v>27</v>
      </c>
      <c r="C9" s="6">
        <v>938128</v>
      </c>
      <c r="D9" s="6">
        <v>2022</v>
      </c>
      <c r="E9" s="6" t="s">
        <v>67</v>
      </c>
      <c r="F9" s="18" t="s">
        <v>110</v>
      </c>
      <c r="G9" s="6" t="s">
        <v>312</v>
      </c>
      <c r="H9" s="6" t="s">
        <v>263</v>
      </c>
      <c r="I9" s="7">
        <v>143</v>
      </c>
      <c r="J9" s="7">
        <v>14300</v>
      </c>
      <c r="K9" s="7">
        <v>14300</v>
      </c>
      <c r="L9" s="31">
        <f t="shared" si="0"/>
        <v>0</v>
      </c>
      <c r="M9" s="47">
        <f t="shared" si="1"/>
        <v>0</v>
      </c>
    </row>
    <row r="10" spans="1:13" x14ac:dyDescent="0.3">
      <c r="A10" s="17" t="s">
        <v>42</v>
      </c>
      <c r="B10" s="18" t="s">
        <v>27</v>
      </c>
      <c r="C10" s="18">
        <v>938128</v>
      </c>
      <c r="D10" s="18">
        <v>2022</v>
      </c>
      <c r="E10" s="18" t="s">
        <v>134</v>
      </c>
      <c r="F10" s="18" t="s">
        <v>110</v>
      </c>
      <c r="G10" s="18" t="s">
        <v>313</v>
      </c>
      <c r="H10" s="18" t="s">
        <v>116</v>
      </c>
      <c r="I10" s="30">
        <v>32765.74</v>
      </c>
      <c r="J10" s="30">
        <v>32765.74</v>
      </c>
      <c r="K10" s="30">
        <v>0</v>
      </c>
      <c r="L10" s="31">
        <f t="shared" si="0"/>
        <v>32765.74</v>
      </c>
      <c r="M10" s="47">
        <f t="shared" si="1"/>
        <v>32765.74</v>
      </c>
    </row>
    <row r="11" spans="1:13" x14ac:dyDescent="0.3">
      <c r="A11" s="17" t="s">
        <v>42</v>
      </c>
      <c r="B11" s="18" t="s">
        <v>27</v>
      </c>
      <c r="C11" s="18">
        <v>938128</v>
      </c>
      <c r="D11" s="18">
        <v>2022</v>
      </c>
      <c r="E11" s="18" t="s">
        <v>67</v>
      </c>
      <c r="F11" s="18" t="s">
        <v>110</v>
      </c>
      <c r="G11" s="18" t="s">
        <v>314</v>
      </c>
      <c r="H11" s="18" t="s">
        <v>315</v>
      </c>
      <c r="I11" s="30">
        <v>186.6</v>
      </c>
      <c r="J11" s="30">
        <v>93300</v>
      </c>
      <c r="K11" s="30">
        <v>93000</v>
      </c>
      <c r="L11" s="31">
        <f t="shared" si="0"/>
        <v>300</v>
      </c>
      <c r="M11" s="47">
        <f t="shared" si="1"/>
        <v>300</v>
      </c>
    </row>
    <row r="12" spans="1:13" x14ac:dyDescent="0.3">
      <c r="A12" s="5" t="s">
        <v>42</v>
      </c>
      <c r="B12" s="6" t="s">
        <v>27</v>
      </c>
      <c r="C12" s="6">
        <v>938128</v>
      </c>
      <c r="D12" s="6">
        <v>2022</v>
      </c>
      <c r="E12" s="6" t="s">
        <v>67</v>
      </c>
      <c r="F12" s="18" t="s">
        <v>110</v>
      </c>
      <c r="G12" s="6" t="s">
        <v>316</v>
      </c>
      <c r="H12" s="6" t="s">
        <v>212</v>
      </c>
      <c r="I12" s="7">
        <v>14365.02</v>
      </c>
      <c r="J12" s="7">
        <v>114920.16</v>
      </c>
      <c r="K12" s="7">
        <v>84220.08</v>
      </c>
      <c r="L12" s="31">
        <f t="shared" si="0"/>
        <v>30700.080000000002</v>
      </c>
      <c r="M12" s="47">
        <f t="shared" si="1"/>
        <v>30700.080000000002</v>
      </c>
    </row>
    <row r="13" spans="1:13" x14ac:dyDescent="0.3">
      <c r="A13" s="17" t="s">
        <v>42</v>
      </c>
      <c r="B13" s="18" t="s">
        <v>27</v>
      </c>
      <c r="C13" s="18">
        <v>938128</v>
      </c>
      <c r="D13" s="18">
        <v>2022</v>
      </c>
      <c r="E13" s="18" t="s">
        <v>67</v>
      </c>
      <c r="F13" s="18" t="s">
        <v>110</v>
      </c>
      <c r="G13" s="18" t="s">
        <v>317</v>
      </c>
      <c r="H13" s="18" t="s">
        <v>310</v>
      </c>
      <c r="I13" s="30">
        <v>8730.1200000000008</v>
      </c>
      <c r="J13" s="30">
        <v>218253</v>
      </c>
      <c r="K13" s="30">
        <v>185000</v>
      </c>
      <c r="L13" s="31">
        <f t="shared" si="0"/>
        <v>33253</v>
      </c>
      <c r="M13" s="47">
        <f t="shared" si="1"/>
        <v>33253</v>
      </c>
    </row>
    <row r="14" spans="1:13" x14ac:dyDescent="0.3">
      <c r="A14" s="5" t="s">
        <v>42</v>
      </c>
      <c r="B14" s="6" t="s">
        <v>27</v>
      </c>
      <c r="C14" s="6">
        <v>938128</v>
      </c>
      <c r="D14" s="6">
        <v>2022</v>
      </c>
      <c r="E14" s="6" t="s">
        <v>65</v>
      </c>
      <c r="F14" s="18" t="s">
        <v>110</v>
      </c>
      <c r="G14" s="6" t="s">
        <v>318</v>
      </c>
      <c r="H14" s="6" t="s">
        <v>114</v>
      </c>
      <c r="I14" s="7">
        <v>688.43</v>
      </c>
      <c r="J14" s="7">
        <v>3442.17</v>
      </c>
      <c r="K14" s="7">
        <v>3435</v>
      </c>
      <c r="L14" s="31">
        <f t="shared" si="0"/>
        <v>7.1700000000000728</v>
      </c>
      <c r="M14" s="47">
        <f t="shared" si="1"/>
        <v>7.1700000000000728</v>
      </c>
    </row>
    <row r="15" spans="1:13" x14ac:dyDescent="0.3">
      <c r="A15" s="17" t="s">
        <v>42</v>
      </c>
      <c r="B15" s="18" t="s">
        <v>27</v>
      </c>
      <c r="C15" s="18">
        <v>938128</v>
      </c>
      <c r="D15" s="18">
        <v>2022</v>
      </c>
      <c r="E15" s="18" t="s">
        <v>67</v>
      </c>
      <c r="F15" s="18" t="s">
        <v>110</v>
      </c>
      <c r="G15" s="18" t="s">
        <v>319</v>
      </c>
      <c r="H15" s="18" t="s">
        <v>320</v>
      </c>
      <c r="I15" s="30">
        <v>460.09</v>
      </c>
      <c r="J15" s="30">
        <v>28985.67</v>
      </c>
      <c r="K15" s="30">
        <v>0</v>
      </c>
      <c r="L15" s="31">
        <f t="shared" si="0"/>
        <v>28985.67</v>
      </c>
      <c r="M15" s="47">
        <f t="shared" si="1"/>
        <v>0</v>
      </c>
    </row>
    <row r="16" spans="1:13" x14ac:dyDescent="0.3">
      <c r="A16" s="5" t="s">
        <v>42</v>
      </c>
      <c r="B16" s="6" t="s">
        <v>27</v>
      </c>
      <c r="C16" s="6">
        <v>938128</v>
      </c>
      <c r="D16" s="6">
        <v>2022</v>
      </c>
      <c r="E16" s="6" t="s">
        <v>66</v>
      </c>
      <c r="F16" s="18" t="s">
        <v>110</v>
      </c>
      <c r="G16" s="6" t="s">
        <v>321</v>
      </c>
      <c r="H16" s="6" t="s">
        <v>322</v>
      </c>
      <c r="I16" s="7">
        <v>720.31</v>
      </c>
      <c r="J16" s="7">
        <v>20168.59</v>
      </c>
      <c r="K16" s="7">
        <v>13076</v>
      </c>
      <c r="L16" s="31">
        <f t="shared" si="0"/>
        <v>7092.59</v>
      </c>
      <c r="M16" s="47">
        <f t="shared" si="1"/>
        <v>7092.59</v>
      </c>
    </row>
    <row r="17" spans="1:13" x14ac:dyDescent="0.3">
      <c r="A17" s="17" t="s">
        <v>42</v>
      </c>
      <c r="B17" s="18" t="s">
        <v>27</v>
      </c>
      <c r="C17" s="18">
        <v>938128</v>
      </c>
      <c r="D17" s="18">
        <v>2022</v>
      </c>
      <c r="E17" s="18" t="s">
        <v>67</v>
      </c>
      <c r="F17" s="18" t="s">
        <v>110</v>
      </c>
      <c r="G17" s="18" t="s">
        <v>323</v>
      </c>
      <c r="H17" s="18" t="s">
        <v>324</v>
      </c>
      <c r="I17" s="30">
        <v>617.79999999999995</v>
      </c>
      <c r="J17" s="30">
        <v>30890</v>
      </c>
      <c r="K17" s="30">
        <v>23500</v>
      </c>
      <c r="L17" s="31">
        <f t="shared" si="0"/>
        <v>7390</v>
      </c>
      <c r="M17" s="47">
        <f t="shared" si="1"/>
        <v>7390</v>
      </c>
    </row>
    <row r="18" spans="1:13" x14ac:dyDescent="0.3">
      <c r="A18" s="5" t="s">
        <v>42</v>
      </c>
      <c r="B18" s="6" t="s">
        <v>27</v>
      </c>
      <c r="C18" s="6">
        <v>938128</v>
      </c>
      <c r="D18" s="6">
        <v>2022</v>
      </c>
      <c r="E18" s="6" t="s">
        <v>65</v>
      </c>
      <c r="F18" s="18" t="s">
        <v>110</v>
      </c>
      <c r="G18" s="6" t="s">
        <v>325</v>
      </c>
      <c r="H18" s="6" t="s">
        <v>326</v>
      </c>
      <c r="I18" s="7">
        <v>829</v>
      </c>
      <c r="J18" s="7">
        <v>10777</v>
      </c>
      <c r="K18" s="7">
        <v>6435</v>
      </c>
      <c r="L18" s="31">
        <f t="shared" si="0"/>
        <v>4342</v>
      </c>
      <c r="M18" s="47">
        <f t="shared" si="1"/>
        <v>4342</v>
      </c>
    </row>
    <row r="19" spans="1:13" x14ac:dyDescent="0.3">
      <c r="A19" s="17" t="s">
        <v>42</v>
      </c>
      <c r="B19" s="18" t="s">
        <v>27</v>
      </c>
      <c r="C19" s="18">
        <v>938128</v>
      </c>
      <c r="D19" s="18">
        <v>2022</v>
      </c>
      <c r="E19" s="18" t="s">
        <v>67</v>
      </c>
      <c r="F19" s="18" t="s">
        <v>110</v>
      </c>
      <c r="G19" s="18" t="s">
        <v>327</v>
      </c>
      <c r="H19" s="18" t="s">
        <v>328</v>
      </c>
      <c r="I19" s="30">
        <v>247.62</v>
      </c>
      <c r="J19" s="30">
        <v>99048</v>
      </c>
      <c r="K19" s="30">
        <v>22000</v>
      </c>
      <c r="L19" s="31">
        <f t="shared" si="0"/>
        <v>77048</v>
      </c>
      <c r="M19" s="47">
        <f t="shared" si="1"/>
        <v>77048</v>
      </c>
    </row>
    <row r="20" spans="1:13" x14ac:dyDescent="0.3">
      <c r="A20" s="17" t="s">
        <v>42</v>
      </c>
      <c r="B20" s="18" t="s">
        <v>27</v>
      </c>
      <c r="C20" s="18">
        <v>938128</v>
      </c>
      <c r="D20" s="18">
        <v>2022</v>
      </c>
      <c r="E20" s="18" t="s">
        <v>65</v>
      </c>
      <c r="F20" s="18" t="s">
        <v>110</v>
      </c>
      <c r="G20" s="18" t="s">
        <v>329</v>
      </c>
      <c r="H20" s="18" t="s">
        <v>112</v>
      </c>
      <c r="I20" s="30">
        <v>580.07000000000005</v>
      </c>
      <c r="J20" s="30">
        <v>2320.2800000000002</v>
      </c>
      <c r="K20" s="30">
        <v>0</v>
      </c>
      <c r="L20" s="31">
        <f t="shared" si="0"/>
        <v>2320.2800000000002</v>
      </c>
      <c r="M20" s="47">
        <f t="shared" si="1"/>
        <v>0</v>
      </c>
    </row>
    <row r="21" spans="1:13" x14ac:dyDescent="0.3">
      <c r="A21" s="5" t="s">
        <v>42</v>
      </c>
      <c r="B21" s="6" t="s">
        <v>27</v>
      </c>
      <c r="C21" s="6">
        <v>938128</v>
      </c>
      <c r="D21" s="6">
        <v>2022</v>
      </c>
      <c r="E21" s="6" t="s">
        <v>66</v>
      </c>
      <c r="F21" s="18" t="s">
        <v>110</v>
      </c>
      <c r="G21" s="6" t="s">
        <v>330</v>
      </c>
      <c r="H21" s="6" t="s">
        <v>167</v>
      </c>
      <c r="I21" s="7">
        <v>355.16</v>
      </c>
      <c r="J21" s="7">
        <v>2130.96</v>
      </c>
      <c r="K21" s="7">
        <v>1783.08</v>
      </c>
      <c r="L21" s="31">
        <f t="shared" si="0"/>
        <v>347.88000000000011</v>
      </c>
      <c r="M21" s="47">
        <f t="shared" si="1"/>
        <v>347.88000000000011</v>
      </c>
    </row>
    <row r="22" spans="1:13" x14ac:dyDescent="0.3">
      <c r="A22" s="17" t="s">
        <v>42</v>
      </c>
      <c r="B22" s="18" t="s">
        <v>27</v>
      </c>
      <c r="C22" s="18">
        <v>938128</v>
      </c>
      <c r="D22" s="18">
        <v>2022</v>
      </c>
      <c r="E22" s="18" t="s">
        <v>67</v>
      </c>
      <c r="F22" s="18" t="s">
        <v>110</v>
      </c>
      <c r="G22" s="18" t="s">
        <v>331</v>
      </c>
      <c r="H22" s="18" t="s">
        <v>332</v>
      </c>
      <c r="I22" s="30">
        <v>3920.34</v>
      </c>
      <c r="J22" s="30">
        <v>105849.2</v>
      </c>
      <c r="K22" s="30">
        <v>87750</v>
      </c>
      <c r="L22" s="31">
        <f t="shared" si="0"/>
        <v>18099.199999999997</v>
      </c>
      <c r="M22" s="47">
        <f t="shared" si="1"/>
        <v>18099.199999999997</v>
      </c>
    </row>
    <row r="23" spans="1:13" x14ac:dyDescent="0.3">
      <c r="A23" s="5" t="s">
        <v>42</v>
      </c>
      <c r="B23" s="6" t="s">
        <v>27</v>
      </c>
      <c r="C23" s="6">
        <v>938128</v>
      </c>
      <c r="D23" s="6">
        <v>2022</v>
      </c>
      <c r="E23" s="6" t="s">
        <v>65</v>
      </c>
      <c r="F23" s="18" t="s">
        <v>110</v>
      </c>
      <c r="G23" s="6" t="s">
        <v>333</v>
      </c>
      <c r="H23" s="6" t="s">
        <v>212</v>
      </c>
      <c r="I23" s="7">
        <v>429.42</v>
      </c>
      <c r="J23" s="7">
        <v>3435.36</v>
      </c>
      <c r="K23" s="7">
        <v>3435.36</v>
      </c>
      <c r="L23" s="31">
        <f t="shared" si="0"/>
        <v>0</v>
      </c>
      <c r="M23" s="47">
        <f t="shared" si="1"/>
        <v>0</v>
      </c>
    </row>
    <row r="24" spans="1:13" x14ac:dyDescent="0.3">
      <c r="A24" s="17" t="s">
        <v>42</v>
      </c>
      <c r="B24" s="18" t="s">
        <v>27</v>
      </c>
      <c r="C24" s="18">
        <v>938128</v>
      </c>
      <c r="D24" s="18">
        <v>2022</v>
      </c>
      <c r="E24" s="18" t="s">
        <v>66</v>
      </c>
      <c r="F24" s="18" t="s">
        <v>110</v>
      </c>
      <c r="G24" s="41" t="s">
        <v>334</v>
      </c>
      <c r="H24" s="18">
        <v>2</v>
      </c>
      <c r="I24" s="30">
        <v>1267.46</v>
      </c>
      <c r="J24" s="30">
        <f>H24*I24</f>
        <v>2534.92</v>
      </c>
      <c r="K24" s="30">
        <v>2520</v>
      </c>
      <c r="L24" s="31">
        <f t="shared" si="0"/>
        <v>14.920000000000073</v>
      </c>
      <c r="M24" s="47">
        <f t="shared" si="1"/>
        <v>14.920000000000073</v>
      </c>
    </row>
    <row r="25" spans="1:13" x14ac:dyDescent="0.3">
      <c r="A25" s="5" t="s">
        <v>42</v>
      </c>
      <c r="B25" s="6" t="s">
        <v>27</v>
      </c>
      <c r="C25" s="6">
        <v>938128</v>
      </c>
      <c r="D25" s="6">
        <v>2022</v>
      </c>
      <c r="E25" s="6" t="s">
        <v>65</v>
      </c>
      <c r="F25" s="18" t="s">
        <v>110</v>
      </c>
      <c r="G25" s="6" t="s">
        <v>335</v>
      </c>
      <c r="H25" s="6" t="s">
        <v>116</v>
      </c>
      <c r="I25" s="7">
        <v>2716.25</v>
      </c>
      <c r="J25" s="7">
        <v>2716.25</v>
      </c>
      <c r="K25" s="7">
        <v>2450</v>
      </c>
      <c r="L25" s="31">
        <f t="shared" si="0"/>
        <v>266.25</v>
      </c>
      <c r="M25" s="47">
        <f t="shared" si="1"/>
        <v>266.25</v>
      </c>
    </row>
    <row r="26" spans="1:13" x14ac:dyDescent="0.3">
      <c r="A26" s="17" t="s">
        <v>42</v>
      </c>
      <c r="B26" s="18" t="s">
        <v>27</v>
      </c>
      <c r="C26" s="18">
        <v>938128</v>
      </c>
      <c r="D26" s="18">
        <v>2022</v>
      </c>
      <c r="E26" s="18" t="s">
        <v>66</v>
      </c>
      <c r="F26" s="18" t="s">
        <v>110</v>
      </c>
      <c r="G26" s="18" t="s">
        <v>336</v>
      </c>
      <c r="H26" s="18" t="s">
        <v>322</v>
      </c>
      <c r="I26" s="30">
        <v>346.94</v>
      </c>
      <c r="J26" s="30">
        <v>9714.32</v>
      </c>
      <c r="K26" s="30">
        <v>11032</v>
      </c>
      <c r="L26" s="31">
        <f t="shared" si="0"/>
        <v>-1317.6800000000003</v>
      </c>
      <c r="M26" s="47">
        <f>J26-K26</f>
        <v>-1317.6800000000003</v>
      </c>
    </row>
    <row r="27" spans="1:13" x14ac:dyDescent="0.3">
      <c r="A27" s="5" t="s">
        <v>42</v>
      </c>
      <c r="B27" s="6" t="s">
        <v>27</v>
      </c>
      <c r="C27" s="6">
        <v>938128</v>
      </c>
      <c r="D27" s="6">
        <v>2022</v>
      </c>
      <c r="E27" s="6" t="s">
        <v>66</v>
      </c>
      <c r="F27" s="18" t="s">
        <v>110</v>
      </c>
      <c r="G27" s="6" t="s">
        <v>337</v>
      </c>
      <c r="H27" s="6" t="s">
        <v>116</v>
      </c>
      <c r="I27" s="7">
        <v>126.24</v>
      </c>
      <c r="J27" s="7">
        <v>126.24</v>
      </c>
      <c r="K27" s="7">
        <v>0</v>
      </c>
      <c r="L27" s="31">
        <f t="shared" si="0"/>
        <v>126.24</v>
      </c>
      <c r="M27" s="47">
        <f t="shared" si="1"/>
        <v>0</v>
      </c>
    </row>
    <row r="28" spans="1:13" x14ac:dyDescent="0.3">
      <c r="A28" s="17" t="s">
        <v>42</v>
      </c>
      <c r="B28" s="18" t="s">
        <v>27</v>
      </c>
      <c r="C28" s="18">
        <v>938128</v>
      </c>
      <c r="D28" s="18">
        <v>2022</v>
      </c>
      <c r="E28" s="18" t="s">
        <v>66</v>
      </c>
      <c r="F28" s="18" t="s">
        <v>110</v>
      </c>
      <c r="G28" s="18" t="s">
        <v>338</v>
      </c>
      <c r="H28" s="18" t="s">
        <v>116</v>
      </c>
      <c r="I28" s="30">
        <v>354.33</v>
      </c>
      <c r="J28" s="30">
        <v>354.33</v>
      </c>
      <c r="K28" s="30">
        <v>0</v>
      </c>
      <c r="L28" s="31">
        <f t="shared" si="0"/>
        <v>354.33</v>
      </c>
      <c r="M28" s="47">
        <f t="shared" si="1"/>
        <v>0</v>
      </c>
    </row>
    <row r="29" spans="1:13" x14ac:dyDescent="0.3">
      <c r="A29" s="5" t="s">
        <v>42</v>
      </c>
      <c r="B29" s="6" t="s">
        <v>27</v>
      </c>
      <c r="C29" s="6">
        <v>938128</v>
      </c>
      <c r="D29" s="6">
        <v>2022</v>
      </c>
      <c r="E29" s="6" t="s">
        <v>66</v>
      </c>
      <c r="F29" s="18" t="s">
        <v>110</v>
      </c>
      <c r="G29" s="6" t="s">
        <v>339</v>
      </c>
      <c r="H29" s="6" t="s">
        <v>116</v>
      </c>
      <c r="I29" s="7">
        <v>142.13</v>
      </c>
      <c r="J29" s="7">
        <v>142.13</v>
      </c>
      <c r="K29" s="7">
        <v>0</v>
      </c>
      <c r="L29" s="31">
        <f t="shared" si="0"/>
        <v>142.13</v>
      </c>
      <c r="M29" s="47">
        <f t="shared" si="1"/>
        <v>0</v>
      </c>
    </row>
    <row r="30" spans="1:13" x14ac:dyDescent="0.3">
      <c r="A30" s="17" t="s">
        <v>42</v>
      </c>
      <c r="B30" s="18" t="s">
        <v>27</v>
      </c>
      <c r="C30" s="18">
        <v>938128</v>
      </c>
      <c r="D30" s="18">
        <v>2022</v>
      </c>
      <c r="E30" s="18" t="s">
        <v>67</v>
      </c>
      <c r="F30" s="18" t="s">
        <v>110</v>
      </c>
      <c r="G30" s="18" t="s">
        <v>340</v>
      </c>
      <c r="H30" s="18" t="s">
        <v>341</v>
      </c>
      <c r="I30" s="30">
        <v>6679.38</v>
      </c>
      <c r="J30" s="30">
        <v>340648.4</v>
      </c>
      <c r="K30" s="30">
        <v>5910.9</v>
      </c>
      <c r="L30" s="31">
        <f t="shared" si="0"/>
        <v>334737.5</v>
      </c>
      <c r="M30" s="47">
        <f t="shared" si="1"/>
        <v>334737.5</v>
      </c>
    </row>
    <row r="31" spans="1:13" x14ac:dyDescent="0.3">
      <c r="A31" s="5" t="s">
        <v>42</v>
      </c>
      <c r="B31" s="6" t="s">
        <v>27</v>
      </c>
      <c r="C31" s="6">
        <v>938128</v>
      </c>
      <c r="D31" s="6">
        <v>2022</v>
      </c>
      <c r="E31" s="6" t="s">
        <v>67</v>
      </c>
      <c r="F31" s="18" t="s">
        <v>110</v>
      </c>
      <c r="G31" s="6" t="s">
        <v>342</v>
      </c>
      <c r="H31" s="6" t="s">
        <v>164</v>
      </c>
      <c r="I31" s="7">
        <v>7800</v>
      </c>
      <c r="J31" s="7">
        <v>70200</v>
      </c>
      <c r="K31" s="7">
        <v>70200</v>
      </c>
      <c r="L31" s="31">
        <f t="shared" si="0"/>
        <v>0</v>
      </c>
      <c r="M31" s="47">
        <f t="shared" si="1"/>
        <v>0</v>
      </c>
    </row>
    <row r="32" spans="1:13" x14ac:dyDescent="0.3">
      <c r="A32" s="17" t="s">
        <v>42</v>
      </c>
      <c r="B32" s="18" t="s">
        <v>27</v>
      </c>
      <c r="C32" s="18">
        <v>938128</v>
      </c>
      <c r="D32" s="18">
        <v>2022</v>
      </c>
      <c r="E32" s="18" t="s">
        <v>66</v>
      </c>
      <c r="F32" s="18" t="s">
        <v>110</v>
      </c>
      <c r="G32" s="18" t="s">
        <v>343</v>
      </c>
      <c r="H32" s="18" t="s">
        <v>133</v>
      </c>
      <c r="I32" s="30">
        <v>583.29999999999995</v>
      </c>
      <c r="J32" s="30">
        <v>1166.5999999999999</v>
      </c>
      <c r="K32" s="30">
        <v>1166.5999999999999</v>
      </c>
      <c r="L32" s="31">
        <f t="shared" si="0"/>
        <v>0</v>
      </c>
      <c r="M32" s="47">
        <f t="shared" si="1"/>
        <v>0</v>
      </c>
    </row>
    <row r="33" spans="1:13" x14ac:dyDescent="0.3">
      <c r="A33" s="5" t="s">
        <v>42</v>
      </c>
      <c r="B33" s="6" t="s">
        <v>27</v>
      </c>
      <c r="C33" s="6">
        <v>938128</v>
      </c>
      <c r="D33" s="6">
        <v>2022</v>
      </c>
      <c r="E33" s="6" t="s">
        <v>67</v>
      </c>
      <c r="F33" s="18" t="s">
        <v>110</v>
      </c>
      <c r="G33" s="6" t="s">
        <v>344</v>
      </c>
      <c r="H33" s="6" t="s">
        <v>112</v>
      </c>
      <c r="I33" s="7">
        <v>426.25</v>
      </c>
      <c r="J33" s="7">
        <v>1705</v>
      </c>
      <c r="K33" s="7">
        <v>3280</v>
      </c>
      <c r="L33" s="31">
        <f t="shared" si="0"/>
        <v>-1575</v>
      </c>
      <c r="M33" s="47">
        <f t="shared" si="1"/>
        <v>-1575</v>
      </c>
    </row>
    <row r="34" spans="1:13" x14ac:dyDescent="0.3">
      <c r="A34" s="17" t="s">
        <v>42</v>
      </c>
      <c r="B34" s="18" t="s">
        <v>27</v>
      </c>
      <c r="C34" s="18">
        <v>938128</v>
      </c>
      <c r="D34" s="18">
        <v>2022</v>
      </c>
      <c r="E34" s="18" t="s">
        <v>67</v>
      </c>
      <c r="F34" s="18" t="s">
        <v>110</v>
      </c>
      <c r="G34" s="18" t="s">
        <v>345</v>
      </c>
      <c r="H34" s="18" t="s">
        <v>332</v>
      </c>
      <c r="I34" s="30">
        <v>767.04</v>
      </c>
      <c r="J34" s="30">
        <v>20710.080000000002</v>
      </c>
      <c r="K34" s="30">
        <v>0</v>
      </c>
      <c r="L34" s="31">
        <f t="shared" si="0"/>
        <v>20710.080000000002</v>
      </c>
      <c r="M34" s="47">
        <f t="shared" si="1"/>
        <v>0</v>
      </c>
    </row>
    <row r="35" spans="1:13" x14ac:dyDescent="0.3">
      <c r="A35" s="5" t="s">
        <v>42</v>
      </c>
      <c r="B35" s="6" t="s">
        <v>27</v>
      </c>
      <c r="C35" s="6">
        <v>938128</v>
      </c>
      <c r="D35" s="6">
        <v>2022</v>
      </c>
      <c r="E35" s="6" t="s">
        <v>66</v>
      </c>
      <c r="F35" s="18" t="s">
        <v>110</v>
      </c>
      <c r="G35" s="6" t="s">
        <v>346</v>
      </c>
      <c r="H35" s="6" t="s">
        <v>322</v>
      </c>
      <c r="I35" s="7">
        <v>1732.33</v>
      </c>
      <c r="J35" s="7">
        <v>48505.33</v>
      </c>
      <c r="K35" s="7">
        <v>15232</v>
      </c>
      <c r="L35" s="31">
        <f t="shared" si="0"/>
        <v>33273.33</v>
      </c>
      <c r="M35" s="47">
        <f t="shared" si="1"/>
        <v>33273.33</v>
      </c>
    </row>
    <row r="36" spans="1:13" x14ac:dyDescent="0.3">
      <c r="A36" s="17" t="s">
        <v>42</v>
      </c>
      <c r="B36" s="18" t="s">
        <v>27</v>
      </c>
      <c r="C36" s="18">
        <v>938128</v>
      </c>
      <c r="D36" s="18">
        <v>2022</v>
      </c>
      <c r="E36" s="18" t="s">
        <v>67</v>
      </c>
      <c r="F36" s="18" t="s">
        <v>110</v>
      </c>
      <c r="G36" s="18" t="s">
        <v>347</v>
      </c>
      <c r="H36" s="18" t="s">
        <v>348</v>
      </c>
      <c r="I36" s="30">
        <v>1784</v>
      </c>
      <c r="J36" s="30">
        <v>356800</v>
      </c>
      <c r="K36" s="30">
        <v>138000</v>
      </c>
      <c r="L36" s="31">
        <f t="shared" si="0"/>
        <v>218800</v>
      </c>
      <c r="M36" s="47">
        <f t="shared" si="1"/>
        <v>218800</v>
      </c>
    </row>
    <row r="37" spans="1:13" x14ac:dyDescent="0.3">
      <c r="A37" s="5" t="s">
        <v>42</v>
      </c>
      <c r="B37" s="6" t="s">
        <v>27</v>
      </c>
      <c r="C37" s="6">
        <v>938128</v>
      </c>
      <c r="D37" s="6">
        <v>2022</v>
      </c>
      <c r="E37" s="6" t="s">
        <v>67</v>
      </c>
      <c r="F37" s="18" t="s">
        <v>110</v>
      </c>
      <c r="G37" s="6" t="s">
        <v>349</v>
      </c>
      <c r="H37" s="6" t="s">
        <v>185</v>
      </c>
      <c r="I37" s="7">
        <v>3251.22</v>
      </c>
      <c r="J37" s="7">
        <v>65024.4</v>
      </c>
      <c r="K37" s="7">
        <v>8000</v>
      </c>
      <c r="L37" s="31">
        <f t="shared" si="0"/>
        <v>57024.4</v>
      </c>
      <c r="M37" s="47">
        <f t="shared" si="1"/>
        <v>57024.4</v>
      </c>
    </row>
    <row r="38" spans="1:13" x14ac:dyDescent="0.3">
      <c r="A38" s="17" t="s">
        <v>42</v>
      </c>
      <c r="B38" s="18" t="s">
        <v>27</v>
      </c>
      <c r="C38" s="18">
        <v>938128</v>
      </c>
      <c r="D38" s="18">
        <v>2022</v>
      </c>
      <c r="E38" s="18" t="s">
        <v>67</v>
      </c>
      <c r="F38" s="18" t="s">
        <v>110</v>
      </c>
      <c r="G38" s="18" t="s">
        <v>350</v>
      </c>
      <c r="H38" s="18" t="s">
        <v>175</v>
      </c>
      <c r="I38" s="30">
        <v>3009.87</v>
      </c>
      <c r="J38" s="30">
        <v>45148.05</v>
      </c>
      <c r="K38" s="30">
        <v>32760</v>
      </c>
      <c r="L38" s="31">
        <f t="shared" si="0"/>
        <v>12388.050000000003</v>
      </c>
      <c r="M38" s="47">
        <f t="shared" si="1"/>
        <v>12388.050000000003</v>
      </c>
    </row>
    <row r="39" spans="1:13" x14ac:dyDescent="0.3">
      <c r="A39" s="5" t="s">
        <v>42</v>
      </c>
      <c r="B39" s="6" t="s">
        <v>27</v>
      </c>
      <c r="C39" s="6">
        <v>938128</v>
      </c>
      <c r="D39" s="6">
        <v>2022</v>
      </c>
      <c r="E39" s="6" t="s">
        <v>65</v>
      </c>
      <c r="F39" s="18" t="s">
        <v>110</v>
      </c>
      <c r="G39" s="6" t="s">
        <v>351</v>
      </c>
      <c r="H39" s="6" t="s">
        <v>116</v>
      </c>
      <c r="I39" s="7">
        <v>2632.66</v>
      </c>
      <c r="J39" s="7">
        <v>2632.66</v>
      </c>
      <c r="K39" s="7">
        <v>2138.67</v>
      </c>
      <c r="L39" s="31">
        <f t="shared" si="0"/>
        <v>493.98999999999978</v>
      </c>
      <c r="M39" s="47">
        <f t="shared" si="1"/>
        <v>493.98999999999978</v>
      </c>
    </row>
    <row r="40" spans="1:13" x14ac:dyDescent="0.3">
      <c r="A40" s="17" t="s">
        <v>42</v>
      </c>
      <c r="B40" s="18" t="s">
        <v>27</v>
      </c>
      <c r="C40" s="18">
        <v>938128</v>
      </c>
      <c r="D40" s="18">
        <v>2022</v>
      </c>
      <c r="E40" s="18" t="s">
        <v>134</v>
      </c>
      <c r="F40" s="18" t="s">
        <v>110</v>
      </c>
      <c r="G40" s="18" t="s">
        <v>352</v>
      </c>
      <c r="H40" s="18" t="s">
        <v>116</v>
      </c>
      <c r="I40" s="30">
        <v>22279.73</v>
      </c>
      <c r="J40" s="30">
        <v>22279.73</v>
      </c>
      <c r="K40" s="30">
        <v>0</v>
      </c>
      <c r="L40" s="31">
        <f t="shared" si="0"/>
        <v>22279.73</v>
      </c>
      <c r="M40" s="47">
        <f t="shared" si="1"/>
        <v>22279.73</v>
      </c>
    </row>
    <row r="41" spans="1:13" x14ac:dyDescent="0.3">
      <c r="A41" s="5" t="s">
        <v>42</v>
      </c>
      <c r="B41" s="6" t="s">
        <v>27</v>
      </c>
      <c r="C41" s="6">
        <v>938128</v>
      </c>
      <c r="D41" s="6">
        <v>2022</v>
      </c>
      <c r="E41" s="6" t="s">
        <v>65</v>
      </c>
      <c r="F41" s="18" t="s">
        <v>110</v>
      </c>
      <c r="G41" s="6" t="s">
        <v>353</v>
      </c>
      <c r="H41" s="6" t="s">
        <v>116</v>
      </c>
      <c r="I41" s="7">
        <v>2190.0100000000002</v>
      </c>
      <c r="J41" s="7">
        <v>2190.0100000000002</v>
      </c>
      <c r="K41" s="7">
        <v>2190.0100000000002</v>
      </c>
      <c r="L41" s="31">
        <f t="shared" si="0"/>
        <v>0</v>
      </c>
      <c r="M41" s="47">
        <f t="shared" si="1"/>
        <v>0</v>
      </c>
    </row>
    <row r="42" spans="1:13" x14ac:dyDescent="0.3">
      <c r="A42" s="17"/>
      <c r="B42" s="6" t="s">
        <v>27</v>
      </c>
      <c r="C42" s="6">
        <v>938128</v>
      </c>
      <c r="D42" s="6">
        <v>2022</v>
      </c>
      <c r="E42" s="18"/>
      <c r="F42" s="18" t="s">
        <v>110</v>
      </c>
      <c r="G42" s="18" t="s">
        <v>652</v>
      </c>
      <c r="H42" s="18">
        <v>10</v>
      </c>
      <c r="I42" s="30">
        <v>113.43</v>
      </c>
      <c r="J42" s="30">
        <f>H42*I42</f>
        <v>1134.3000000000002</v>
      </c>
      <c r="K42" s="30">
        <v>0</v>
      </c>
      <c r="L42" s="31">
        <f t="shared" ref="L42:L48" si="2">J42-K42</f>
        <v>1134.3000000000002</v>
      </c>
      <c r="M42" s="47">
        <f t="shared" si="1"/>
        <v>0</v>
      </c>
    </row>
    <row r="43" spans="1:13" x14ac:dyDescent="0.3">
      <c r="A43" s="5"/>
      <c r="B43" s="6" t="s">
        <v>27</v>
      </c>
      <c r="C43" s="6">
        <v>938128</v>
      </c>
      <c r="D43" s="6">
        <v>2022</v>
      </c>
      <c r="E43" s="6"/>
      <c r="F43" s="6" t="s">
        <v>110</v>
      </c>
      <c r="G43" s="6" t="s">
        <v>352</v>
      </c>
      <c r="H43" s="6">
        <v>1</v>
      </c>
      <c r="I43" s="7">
        <v>71.36</v>
      </c>
      <c r="J43" s="7">
        <v>71.36</v>
      </c>
      <c r="K43" s="152">
        <v>0</v>
      </c>
      <c r="L43" s="31">
        <f t="shared" si="2"/>
        <v>71.36</v>
      </c>
      <c r="M43" s="47">
        <f t="shared" ref="M43" si="3">IF(E43="N/A", J43, IF(OR(K43=0, ISBLANK(K43), K43=""), 0, J43-K43))</f>
        <v>0</v>
      </c>
    </row>
    <row r="44" spans="1:13" x14ac:dyDescent="0.3">
      <c r="A44" s="17"/>
      <c r="B44" s="6" t="s">
        <v>27</v>
      </c>
      <c r="C44" s="6">
        <v>938128</v>
      </c>
      <c r="D44" s="6">
        <v>2022</v>
      </c>
      <c r="E44" s="18"/>
      <c r="F44" s="18" t="s">
        <v>103</v>
      </c>
      <c r="G44" s="18" t="s">
        <v>653</v>
      </c>
      <c r="H44" s="18">
        <v>1</v>
      </c>
      <c r="I44" s="30">
        <v>505000</v>
      </c>
      <c r="J44" s="30">
        <f>H44*I44</f>
        <v>505000</v>
      </c>
      <c r="K44" s="30">
        <v>0</v>
      </c>
      <c r="L44" s="31">
        <f t="shared" si="2"/>
        <v>505000</v>
      </c>
      <c r="M44" s="47">
        <f t="shared" ref="M44" si="4">IF(E44="N/A", J44, IF(OR(K44=0, ISBLANK(K44), K44=""), 0, J44-K44))</f>
        <v>0</v>
      </c>
    </row>
    <row r="45" spans="1:13" x14ac:dyDescent="0.3">
      <c r="A45" s="5"/>
      <c r="B45" s="6" t="s">
        <v>27</v>
      </c>
      <c r="C45" s="6">
        <v>938128</v>
      </c>
      <c r="D45" s="6">
        <v>2022</v>
      </c>
      <c r="E45" s="6"/>
      <c r="F45" s="6" t="s">
        <v>103</v>
      </c>
      <c r="G45" s="6" t="s">
        <v>654</v>
      </c>
      <c r="H45" s="6">
        <v>1</v>
      </c>
      <c r="I45" s="7">
        <v>426666.67</v>
      </c>
      <c r="J45" s="7">
        <v>426666.67</v>
      </c>
      <c r="K45" s="7">
        <v>0</v>
      </c>
      <c r="L45" s="31">
        <f t="shared" si="2"/>
        <v>426666.67</v>
      </c>
      <c r="M45" s="47">
        <f t="shared" ref="M45" si="5">IF(E45="N/A", J45, IF(OR(K45=0, ISBLANK(K45), K45=""), 0, J45-K45))</f>
        <v>0</v>
      </c>
    </row>
    <row r="46" spans="1:13" x14ac:dyDescent="0.3">
      <c r="B46" s="6" t="s">
        <v>27</v>
      </c>
      <c r="C46" s="6">
        <v>938128</v>
      </c>
      <c r="D46" s="6">
        <v>2022</v>
      </c>
      <c r="E46" s="2" t="s">
        <v>65</v>
      </c>
      <c r="F46" s="2" t="s">
        <v>110</v>
      </c>
      <c r="G46" s="2" t="s">
        <v>655</v>
      </c>
      <c r="H46" s="2">
        <v>1</v>
      </c>
      <c r="I46" s="3">
        <v>4287.7</v>
      </c>
      <c r="J46" s="3">
        <v>4287.7</v>
      </c>
      <c r="K46" s="3">
        <v>0</v>
      </c>
      <c r="L46" s="31">
        <f t="shared" si="2"/>
        <v>4287.7</v>
      </c>
      <c r="M46" s="47">
        <f t="shared" ref="M46" si="6">IF(E46="N/A", J46, IF(OR(K46=0, ISBLANK(K46), K46=""), 0, J46-K46))</f>
        <v>0</v>
      </c>
    </row>
    <row r="47" spans="1:13" x14ac:dyDescent="0.3">
      <c r="B47" s="6" t="s">
        <v>27</v>
      </c>
      <c r="C47" s="6">
        <v>938128</v>
      </c>
      <c r="D47" s="6">
        <v>2022</v>
      </c>
      <c r="E47" s="2" t="s">
        <v>65</v>
      </c>
      <c r="F47" s="2" t="s">
        <v>110</v>
      </c>
      <c r="G47" s="2" t="s">
        <v>656</v>
      </c>
      <c r="H47" s="2">
        <v>12</v>
      </c>
      <c r="I47" s="3">
        <v>2524.35</v>
      </c>
      <c r="J47" s="3">
        <f>H47*I47</f>
        <v>30292.199999999997</v>
      </c>
      <c r="K47" s="3">
        <v>0</v>
      </c>
      <c r="L47" s="31">
        <f t="shared" si="2"/>
        <v>30292.199999999997</v>
      </c>
      <c r="M47" s="47">
        <f t="shared" ref="M47:M48" si="7">IF(E47="N/A", J47, IF(OR(K47=0, ISBLANK(K47), K47=""), 0, J47-K47))</f>
        <v>0</v>
      </c>
    </row>
    <row r="48" spans="1:13" x14ac:dyDescent="0.3">
      <c r="B48" s="6" t="s">
        <v>27</v>
      </c>
      <c r="C48" s="6">
        <v>938128</v>
      </c>
      <c r="D48" s="6">
        <v>2022</v>
      </c>
      <c r="E48" s="2" t="s">
        <v>65</v>
      </c>
      <c r="F48" s="2" t="s">
        <v>110</v>
      </c>
      <c r="G48" s="2" t="s">
        <v>657</v>
      </c>
      <c r="H48" s="2">
        <v>12</v>
      </c>
      <c r="I48" s="3">
        <v>1024.8</v>
      </c>
      <c r="J48" s="3">
        <f>H48*I48</f>
        <v>12297.599999999999</v>
      </c>
      <c r="K48" s="3">
        <v>0</v>
      </c>
      <c r="L48" s="3">
        <f t="shared" si="2"/>
        <v>12297.599999999999</v>
      </c>
      <c r="M48" s="47">
        <f t="shared" si="7"/>
        <v>0</v>
      </c>
    </row>
  </sheetData>
  <autoFilter ref="A1:L48" xr:uid="{E93C9250-D4D5-4EF6-8EF9-5EADAF8441B4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82D0-08F3-47D4-89FB-8BC445800005}">
  <dimension ref="A1:M53"/>
  <sheetViews>
    <sheetView zoomScale="70" zoomScaleNormal="70" workbookViewId="0">
      <selection sqref="A1:M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9" t="s">
        <v>0</v>
      </c>
      <c r="B1" s="10" t="s">
        <v>1</v>
      </c>
      <c r="C1" s="10" t="s">
        <v>2</v>
      </c>
      <c r="D1" s="10" t="s">
        <v>3</v>
      </c>
      <c r="E1" s="27" t="s">
        <v>94</v>
      </c>
      <c r="F1" s="27" t="s">
        <v>95</v>
      </c>
      <c r="G1" s="27" t="s">
        <v>96</v>
      </c>
      <c r="H1" s="27" t="s">
        <v>97</v>
      </c>
      <c r="I1" s="28" t="s">
        <v>98</v>
      </c>
      <c r="J1" s="28" t="s">
        <v>99</v>
      </c>
      <c r="K1" s="28" t="s">
        <v>100</v>
      </c>
      <c r="L1" s="29" t="s">
        <v>101</v>
      </c>
      <c r="M1" s="46" t="s">
        <v>102</v>
      </c>
    </row>
    <row r="2" spans="1:13" x14ac:dyDescent="0.3">
      <c r="A2" s="17" t="s">
        <v>44</v>
      </c>
      <c r="B2" s="18" t="s">
        <v>27</v>
      </c>
      <c r="C2" s="18">
        <v>938277</v>
      </c>
      <c r="D2" s="18">
        <v>2022</v>
      </c>
      <c r="E2" s="18" t="s">
        <v>67</v>
      </c>
      <c r="F2" s="18" t="s">
        <v>103</v>
      </c>
      <c r="G2" s="18" t="s">
        <v>354</v>
      </c>
      <c r="H2" s="18" t="s">
        <v>116</v>
      </c>
      <c r="I2" s="30">
        <v>251.6</v>
      </c>
      <c r="J2" s="30">
        <v>251.6</v>
      </c>
      <c r="K2" s="30"/>
      <c r="L2" s="31">
        <f>J2-K2</f>
        <v>251.6</v>
      </c>
      <c r="M2" s="47">
        <f>IF(E2="N/A", J2, IF(OR(K2=0, ISBLANK(K2), K2=""), 0, J2-K2))</f>
        <v>0</v>
      </c>
    </row>
    <row r="3" spans="1:13" x14ac:dyDescent="0.3">
      <c r="A3" s="5" t="s">
        <v>44</v>
      </c>
      <c r="B3" s="6" t="s">
        <v>27</v>
      </c>
      <c r="C3" s="6">
        <v>938277</v>
      </c>
      <c r="D3" s="6">
        <v>2022</v>
      </c>
      <c r="E3" s="6" t="s">
        <v>67</v>
      </c>
      <c r="F3" s="18" t="s">
        <v>103</v>
      </c>
      <c r="G3" s="6" t="s">
        <v>355</v>
      </c>
      <c r="H3" s="6" t="s">
        <v>116</v>
      </c>
      <c r="I3" s="7">
        <v>87.62</v>
      </c>
      <c r="J3" s="7">
        <v>87.62</v>
      </c>
      <c r="K3" s="7"/>
      <c r="L3" s="31">
        <f t="shared" ref="L3:L53" si="0">J3-K3</f>
        <v>87.62</v>
      </c>
      <c r="M3" s="47">
        <f t="shared" ref="M3:M53" si="1">IF(E3="N/A", J3, IF(OR(K3=0, ISBLANK(K3), K3=""), 0, J3-K3))</f>
        <v>0</v>
      </c>
    </row>
    <row r="4" spans="1:13" x14ac:dyDescent="0.3">
      <c r="A4" s="17" t="s">
        <v>44</v>
      </c>
      <c r="B4" s="18" t="s">
        <v>27</v>
      </c>
      <c r="C4" s="18">
        <v>938277</v>
      </c>
      <c r="D4" s="18">
        <v>2022</v>
      </c>
      <c r="E4" s="18" t="s">
        <v>67</v>
      </c>
      <c r="F4" s="18" t="s">
        <v>103</v>
      </c>
      <c r="G4" s="18" t="s">
        <v>356</v>
      </c>
      <c r="H4" s="18" t="s">
        <v>116</v>
      </c>
      <c r="I4" s="30">
        <v>106.5</v>
      </c>
      <c r="J4" s="30">
        <v>106.5</v>
      </c>
      <c r="K4" s="30"/>
      <c r="L4" s="31">
        <f t="shared" si="0"/>
        <v>106.5</v>
      </c>
      <c r="M4" s="47">
        <f t="shared" si="1"/>
        <v>0</v>
      </c>
    </row>
    <row r="5" spans="1:13" x14ac:dyDescent="0.3">
      <c r="A5" s="5" t="s">
        <v>44</v>
      </c>
      <c r="B5" s="6" t="s">
        <v>27</v>
      </c>
      <c r="C5" s="6">
        <v>938277</v>
      </c>
      <c r="D5" s="6">
        <v>2022</v>
      </c>
      <c r="E5" s="6" t="s">
        <v>67</v>
      </c>
      <c r="F5" s="18" t="s">
        <v>103</v>
      </c>
      <c r="G5" s="6" t="s">
        <v>357</v>
      </c>
      <c r="H5" s="6" t="s">
        <v>116</v>
      </c>
      <c r="I5" s="7">
        <v>99.8</v>
      </c>
      <c r="J5" s="7">
        <v>99.8</v>
      </c>
      <c r="K5" s="7"/>
      <c r="L5" s="31">
        <f t="shared" si="0"/>
        <v>99.8</v>
      </c>
      <c r="M5" s="47">
        <f t="shared" si="1"/>
        <v>0</v>
      </c>
    </row>
    <row r="6" spans="1:13" x14ac:dyDescent="0.3">
      <c r="A6" s="17" t="s">
        <v>44</v>
      </c>
      <c r="B6" s="18" t="s">
        <v>27</v>
      </c>
      <c r="C6" s="18">
        <v>938277</v>
      </c>
      <c r="D6" s="18">
        <v>2022</v>
      </c>
      <c r="E6" s="18" t="s">
        <v>67</v>
      </c>
      <c r="F6" s="18" t="s">
        <v>103</v>
      </c>
      <c r="G6" s="18" t="s">
        <v>358</v>
      </c>
      <c r="H6" s="18" t="s">
        <v>116</v>
      </c>
      <c r="I6" s="30">
        <v>277.8</v>
      </c>
      <c r="J6" s="30">
        <v>277.8</v>
      </c>
      <c r="K6" s="30"/>
      <c r="L6" s="31">
        <f t="shared" si="0"/>
        <v>277.8</v>
      </c>
      <c r="M6" s="47">
        <f t="shared" si="1"/>
        <v>0</v>
      </c>
    </row>
    <row r="7" spans="1:13" x14ac:dyDescent="0.3">
      <c r="A7" s="5" t="s">
        <v>44</v>
      </c>
      <c r="B7" s="6" t="s">
        <v>27</v>
      </c>
      <c r="C7" s="6">
        <v>938277</v>
      </c>
      <c r="D7" s="6">
        <v>2022</v>
      </c>
      <c r="E7" s="6" t="s">
        <v>67</v>
      </c>
      <c r="F7" s="18" t="s">
        <v>103</v>
      </c>
      <c r="G7" s="6" t="s">
        <v>359</v>
      </c>
      <c r="H7" s="6" t="s">
        <v>116</v>
      </c>
      <c r="I7" s="7">
        <v>347</v>
      </c>
      <c r="J7" s="7">
        <v>347</v>
      </c>
      <c r="K7" s="7"/>
      <c r="L7" s="31">
        <f t="shared" si="0"/>
        <v>347</v>
      </c>
      <c r="M7" s="47">
        <f t="shared" si="1"/>
        <v>0</v>
      </c>
    </row>
    <row r="8" spans="1:13" x14ac:dyDescent="0.3">
      <c r="A8" s="17" t="s">
        <v>44</v>
      </c>
      <c r="B8" s="18" t="s">
        <v>27</v>
      </c>
      <c r="C8" s="18">
        <v>938277</v>
      </c>
      <c r="D8" s="18">
        <v>2022</v>
      </c>
      <c r="E8" s="18" t="s">
        <v>67</v>
      </c>
      <c r="F8" s="18" t="s">
        <v>103</v>
      </c>
      <c r="G8" s="18" t="s">
        <v>360</v>
      </c>
      <c r="H8" s="18" t="s">
        <v>116</v>
      </c>
      <c r="I8" s="30">
        <v>116.2</v>
      </c>
      <c r="J8" s="30">
        <v>116.2</v>
      </c>
      <c r="K8" s="30"/>
      <c r="L8" s="31">
        <f t="shared" si="0"/>
        <v>116.2</v>
      </c>
      <c r="M8" s="47">
        <f t="shared" si="1"/>
        <v>0</v>
      </c>
    </row>
    <row r="9" spans="1:13" x14ac:dyDescent="0.3">
      <c r="A9" s="5" t="s">
        <v>44</v>
      </c>
      <c r="B9" s="6" t="s">
        <v>27</v>
      </c>
      <c r="C9" s="6">
        <v>938277</v>
      </c>
      <c r="D9" s="6">
        <v>2022</v>
      </c>
      <c r="E9" s="6" t="s">
        <v>67</v>
      </c>
      <c r="F9" s="18" t="s">
        <v>103</v>
      </c>
      <c r="G9" s="6" t="s">
        <v>361</v>
      </c>
      <c r="H9" s="6" t="s">
        <v>116</v>
      </c>
      <c r="I9" s="7">
        <v>145.30000000000001</v>
      </c>
      <c r="J9" s="7">
        <v>145.30000000000001</v>
      </c>
      <c r="K9" s="7"/>
      <c r="L9" s="31">
        <f t="shared" si="0"/>
        <v>145.30000000000001</v>
      </c>
      <c r="M9" s="47">
        <f t="shared" si="1"/>
        <v>0</v>
      </c>
    </row>
    <row r="10" spans="1:13" x14ac:dyDescent="0.3">
      <c r="A10" s="17" t="s">
        <v>44</v>
      </c>
      <c r="B10" s="18" t="s">
        <v>27</v>
      </c>
      <c r="C10" s="18">
        <v>938277</v>
      </c>
      <c r="D10" s="18">
        <v>2022</v>
      </c>
      <c r="E10" s="18" t="s">
        <v>67</v>
      </c>
      <c r="F10" s="18" t="s">
        <v>103</v>
      </c>
      <c r="G10" s="18" t="s">
        <v>362</v>
      </c>
      <c r="H10" s="18" t="s">
        <v>116</v>
      </c>
      <c r="I10" s="30">
        <v>332</v>
      </c>
      <c r="J10" s="30">
        <v>332</v>
      </c>
      <c r="K10" s="30"/>
      <c r="L10" s="31">
        <f t="shared" si="0"/>
        <v>332</v>
      </c>
      <c r="M10" s="47">
        <f t="shared" si="1"/>
        <v>0</v>
      </c>
    </row>
    <row r="11" spans="1:13" x14ac:dyDescent="0.3">
      <c r="A11" s="5" t="s">
        <v>44</v>
      </c>
      <c r="B11" s="6" t="s">
        <v>27</v>
      </c>
      <c r="C11" s="6">
        <v>938277</v>
      </c>
      <c r="D11" s="6">
        <v>2022</v>
      </c>
      <c r="E11" s="6" t="s">
        <v>67</v>
      </c>
      <c r="F11" s="18" t="s">
        <v>103</v>
      </c>
      <c r="G11" s="6" t="s">
        <v>363</v>
      </c>
      <c r="H11" s="6" t="s">
        <v>116</v>
      </c>
      <c r="I11" s="7">
        <v>694</v>
      </c>
      <c r="J11" s="7">
        <v>694</v>
      </c>
      <c r="K11" s="7"/>
      <c r="L11" s="31">
        <f t="shared" si="0"/>
        <v>694</v>
      </c>
      <c r="M11" s="47">
        <f t="shared" si="1"/>
        <v>0</v>
      </c>
    </row>
    <row r="12" spans="1:13" x14ac:dyDescent="0.3">
      <c r="A12" s="17" t="s">
        <v>44</v>
      </c>
      <c r="B12" s="18" t="s">
        <v>27</v>
      </c>
      <c r="C12" s="18">
        <v>938277</v>
      </c>
      <c r="D12" s="18">
        <v>2022</v>
      </c>
      <c r="E12" s="18" t="s">
        <v>67</v>
      </c>
      <c r="F12" s="18" t="s">
        <v>103</v>
      </c>
      <c r="G12" s="18" t="s">
        <v>364</v>
      </c>
      <c r="H12" s="18" t="s">
        <v>116</v>
      </c>
      <c r="I12" s="30">
        <v>890</v>
      </c>
      <c r="J12" s="30">
        <v>890</v>
      </c>
      <c r="K12" s="30">
        <v>890</v>
      </c>
      <c r="L12" s="31">
        <f t="shared" si="0"/>
        <v>0</v>
      </c>
      <c r="M12" s="47">
        <f t="shared" si="1"/>
        <v>0</v>
      </c>
    </row>
    <row r="13" spans="1:13" x14ac:dyDescent="0.3">
      <c r="A13" s="5" t="s">
        <v>44</v>
      </c>
      <c r="B13" s="6" t="s">
        <v>27</v>
      </c>
      <c r="C13" s="6">
        <v>938277</v>
      </c>
      <c r="D13" s="6">
        <v>2022</v>
      </c>
      <c r="E13" s="6" t="s">
        <v>134</v>
      </c>
      <c r="F13" s="18" t="s">
        <v>103</v>
      </c>
      <c r="G13" s="6" t="s">
        <v>365</v>
      </c>
      <c r="H13" s="6" t="s">
        <v>116</v>
      </c>
      <c r="I13" s="7">
        <v>5924.45</v>
      </c>
      <c r="J13" s="7">
        <v>5924.45</v>
      </c>
      <c r="K13" s="7">
        <v>0</v>
      </c>
      <c r="L13" s="31">
        <f t="shared" si="0"/>
        <v>5924.45</v>
      </c>
      <c r="M13" s="47">
        <f t="shared" si="1"/>
        <v>5924.45</v>
      </c>
    </row>
    <row r="14" spans="1:13" x14ac:dyDescent="0.3">
      <c r="A14" s="17" t="s">
        <v>44</v>
      </c>
      <c r="B14" s="18" t="s">
        <v>27</v>
      </c>
      <c r="C14" s="18">
        <v>938277</v>
      </c>
      <c r="D14" s="18">
        <v>2022</v>
      </c>
      <c r="E14" s="18" t="s">
        <v>67</v>
      </c>
      <c r="F14" s="18" t="s">
        <v>103</v>
      </c>
      <c r="G14" s="18" t="s">
        <v>366</v>
      </c>
      <c r="H14" s="18" t="s">
        <v>116</v>
      </c>
      <c r="I14" s="30">
        <v>286</v>
      </c>
      <c r="J14" s="30">
        <v>286</v>
      </c>
      <c r="K14" s="30"/>
      <c r="L14" s="31">
        <f t="shared" si="0"/>
        <v>286</v>
      </c>
      <c r="M14" s="47">
        <f t="shared" si="1"/>
        <v>0</v>
      </c>
    </row>
    <row r="15" spans="1:13" x14ac:dyDescent="0.3">
      <c r="A15" s="5" t="s">
        <v>44</v>
      </c>
      <c r="B15" s="6" t="s">
        <v>27</v>
      </c>
      <c r="C15" s="6">
        <v>938277</v>
      </c>
      <c r="D15" s="6">
        <v>2022</v>
      </c>
      <c r="E15" s="6" t="s">
        <v>67</v>
      </c>
      <c r="F15" s="18" t="s">
        <v>103</v>
      </c>
      <c r="G15" s="6" t="s">
        <v>367</v>
      </c>
      <c r="H15" s="6" t="s">
        <v>116</v>
      </c>
      <c r="I15" s="7">
        <v>79.989999999999995</v>
      </c>
      <c r="J15" s="7">
        <v>79.989999999999995</v>
      </c>
      <c r="K15" s="7"/>
      <c r="L15" s="31">
        <f t="shared" si="0"/>
        <v>79.989999999999995</v>
      </c>
      <c r="M15" s="47">
        <f t="shared" si="1"/>
        <v>0</v>
      </c>
    </row>
    <row r="16" spans="1:13" x14ac:dyDescent="0.3">
      <c r="A16" s="17" t="s">
        <v>44</v>
      </c>
      <c r="B16" s="18" t="s">
        <v>27</v>
      </c>
      <c r="C16" s="18">
        <v>938277</v>
      </c>
      <c r="D16" s="18">
        <v>2022</v>
      </c>
      <c r="E16" s="18" t="s">
        <v>67</v>
      </c>
      <c r="F16" s="18" t="s">
        <v>103</v>
      </c>
      <c r="G16" s="18" t="s">
        <v>368</v>
      </c>
      <c r="H16" s="18" t="s">
        <v>283</v>
      </c>
      <c r="I16" s="30">
        <v>70</v>
      </c>
      <c r="J16" s="30">
        <v>3990</v>
      </c>
      <c r="K16" s="30">
        <v>3990</v>
      </c>
      <c r="L16" s="31">
        <f t="shared" si="0"/>
        <v>0</v>
      </c>
      <c r="M16" s="47">
        <f t="shared" si="1"/>
        <v>0</v>
      </c>
    </row>
    <row r="17" spans="1:13" x14ac:dyDescent="0.3">
      <c r="A17" s="5" t="s">
        <v>44</v>
      </c>
      <c r="B17" s="6" t="s">
        <v>27</v>
      </c>
      <c r="C17" s="6">
        <v>938277</v>
      </c>
      <c r="D17" s="6">
        <v>2022</v>
      </c>
      <c r="E17" s="6" t="s">
        <v>67</v>
      </c>
      <c r="F17" s="18" t="s">
        <v>103</v>
      </c>
      <c r="G17" s="6" t="s">
        <v>369</v>
      </c>
      <c r="H17" s="6" t="s">
        <v>370</v>
      </c>
      <c r="I17" s="7">
        <v>117.5</v>
      </c>
      <c r="J17" s="7">
        <v>7050</v>
      </c>
      <c r="K17" s="7"/>
      <c r="L17" s="31">
        <f t="shared" si="0"/>
        <v>7050</v>
      </c>
      <c r="M17" s="47">
        <f t="shared" si="1"/>
        <v>0</v>
      </c>
    </row>
    <row r="18" spans="1:13" x14ac:dyDescent="0.3">
      <c r="A18" s="17" t="s">
        <v>44</v>
      </c>
      <c r="B18" s="18" t="s">
        <v>27</v>
      </c>
      <c r="C18" s="18">
        <v>938277</v>
      </c>
      <c r="D18" s="18">
        <v>2022</v>
      </c>
      <c r="E18" s="18" t="s">
        <v>66</v>
      </c>
      <c r="F18" s="18" t="s">
        <v>103</v>
      </c>
      <c r="G18" s="18" t="s">
        <v>371</v>
      </c>
      <c r="H18" s="18" t="s">
        <v>126</v>
      </c>
      <c r="I18" s="30">
        <v>219</v>
      </c>
      <c r="J18" s="30">
        <v>2190</v>
      </c>
      <c r="K18" s="30"/>
      <c r="L18" s="31">
        <f t="shared" si="0"/>
        <v>2190</v>
      </c>
      <c r="M18" s="47">
        <f t="shared" si="1"/>
        <v>0</v>
      </c>
    </row>
    <row r="19" spans="1:13" x14ac:dyDescent="0.3">
      <c r="A19" s="5" t="s">
        <v>44</v>
      </c>
      <c r="B19" s="6" t="s">
        <v>27</v>
      </c>
      <c r="C19" s="6">
        <v>938277</v>
      </c>
      <c r="D19" s="6">
        <v>2022</v>
      </c>
      <c r="E19" s="6" t="s">
        <v>67</v>
      </c>
      <c r="F19" s="18" t="s">
        <v>103</v>
      </c>
      <c r="G19" s="6" t="s">
        <v>372</v>
      </c>
      <c r="H19" s="6" t="s">
        <v>373</v>
      </c>
      <c r="I19" s="7">
        <v>40</v>
      </c>
      <c r="J19" s="7">
        <v>2800</v>
      </c>
      <c r="K19" s="7">
        <v>2800</v>
      </c>
      <c r="L19" s="31">
        <f t="shared" si="0"/>
        <v>0</v>
      </c>
      <c r="M19" s="47">
        <f t="shared" si="1"/>
        <v>0</v>
      </c>
    </row>
    <row r="20" spans="1:13" x14ac:dyDescent="0.3">
      <c r="A20" s="17" t="s">
        <v>44</v>
      </c>
      <c r="B20" s="18" t="s">
        <v>27</v>
      </c>
      <c r="C20" s="18">
        <v>938277</v>
      </c>
      <c r="D20" s="18">
        <v>2022</v>
      </c>
      <c r="E20" s="18" t="s">
        <v>67</v>
      </c>
      <c r="F20" s="18" t="s">
        <v>103</v>
      </c>
      <c r="G20" s="18" t="s">
        <v>374</v>
      </c>
      <c r="H20" s="18">
        <v>100</v>
      </c>
      <c r="I20" s="30">
        <v>10</v>
      </c>
      <c r="J20" s="30">
        <f>H20*I20</f>
        <v>1000</v>
      </c>
      <c r="K20" s="30"/>
      <c r="L20" s="31">
        <f t="shared" si="0"/>
        <v>1000</v>
      </c>
      <c r="M20" s="47">
        <f t="shared" si="1"/>
        <v>0</v>
      </c>
    </row>
    <row r="21" spans="1:13" x14ac:dyDescent="0.3">
      <c r="A21" s="17" t="s">
        <v>44</v>
      </c>
      <c r="B21" s="18" t="s">
        <v>27</v>
      </c>
      <c r="C21" s="18">
        <v>938277</v>
      </c>
      <c r="D21" s="18">
        <v>2022</v>
      </c>
      <c r="E21" s="18" t="s">
        <v>66</v>
      </c>
      <c r="F21" s="18" t="s">
        <v>103</v>
      </c>
      <c r="G21" s="18" t="s">
        <v>374</v>
      </c>
      <c r="H21" s="18">
        <v>7</v>
      </c>
      <c r="I21" s="30">
        <v>10</v>
      </c>
      <c r="J21" s="30">
        <f>H21*I21</f>
        <v>70</v>
      </c>
      <c r="K21" s="30"/>
      <c r="L21" s="31">
        <f t="shared" si="0"/>
        <v>70</v>
      </c>
      <c r="M21" s="47">
        <f t="shared" si="1"/>
        <v>0</v>
      </c>
    </row>
    <row r="22" spans="1:13" x14ac:dyDescent="0.3">
      <c r="A22" s="5" t="s">
        <v>44</v>
      </c>
      <c r="B22" s="6" t="s">
        <v>27</v>
      </c>
      <c r="C22" s="6">
        <v>938277</v>
      </c>
      <c r="D22" s="6">
        <v>2022</v>
      </c>
      <c r="E22" s="6" t="s">
        <v>65</v>
      </c>
      <c r="F22" s="18" t="s">
        <v>103</v>
      </c>
      <c r="G22" s="6" t="s">
        <v>375</v>
      </c>
      <c r="H22" s="6" t="s">
        <v>112</v>
      </c>
      <c r="I22" s="7">
        <v>4221.04</v>
      </c>
      <c r="J22" s="7">
        <v>16884.14</v>
      </c>
      <c r="K22" s="7">
        <v>1999.98</v>
      </c>
      <c r="L22" s="31">
        <f t="shared" si="0"/>
        <v>14884.16</v>
      </c>
      <c r="M22" s="47">
        <f t="shared" si="1"/>
        <v>14884.16</v>
      </c>
    </row>
    <row r="23" spans="1:13" x14ac:dyDescent="0.3">
      <c r="A23" s="17" t="s">
        <v>44</v>
      </c>
      <c r="B23" s="18" t="s">
        <v>27</v>
      </c>
      <c r="C23" s="18">
        <v>938277</v>
      </c>
      <c r="D23" s="18">
        <v>2022</v>
      </c>
      <c r="E23" s="18" t="s">
        <v>66</v>
      </c>
      <c r="F23" s="18" t="s">
        <v>103</v>
      </c>
      <c r="G23" s="18" t="s">
        <v>376</v>
      </c>
      <c r="H23" s="18" t="s">
        <v>112</v>
      </c>
      <c r="I23" s="30">
        <v>3450</v>
      </c>
      <c r="J23" s="30">
        <v>13800</v>
      </c>
      <c r="K23" s="30">
        <v>3000</v>
      </c>
      <c r="L23" s="31">
        <f t="shared" si="0"/>
        <v>10800</v>
      </c>
      <c r="M23" s="47">
        <f t="shared" si="1"/>
        <v>10800</v>
      </c>
    </row>
    <row r="24" spans="1:13" x14ac:dyDescent="0.3">
      <c r="A24" s="5" t="s">
        <v>44</v>
      </c>
      <c r="B24" s="6" t="s">
        <v>27</v>
      </c>
      <c r="C24" s="6">
        <v>938277</v>
      </c>
      <c r="D24" s="6">
        <v>2022</v>
      </c>
      <c r="E24" s="6" t="s">
        <v>65</v>
      </c>
      <c r="F24" s="18" t="s">
        <v>103</v>
      </c>
      <c r="G24" s="6" t="s">
        <v>377</v>
      </c>
      <c r="H24" s="6" t="s">
        <v>133</v>
      </c>
      <c r="I24" s="7">
        <v>9924.2999999999993</v>
      </c>
      <c r="J24" s="7">
        <v>19848.599999999999</v>
      </c>
      <c r="K24" s="7">
        <v>9800</v>
      </c>
      <c r="L24" s="31">
        <f t="shared" si="0"/>
        <v>10048.599999999999</v>
      </c>
      <c r="M24" s="47">
        <f t="shared" si="1"/>
        <v>10048.599999999999</v>
      </c>
    </row>
    <row r="25" spans="1:13" x14ac:dyDescent="0.3">
      <c r="A25" s="17" t="s">
        <v>44</v>
      </c>
      <c r="B25" s="18" t="s">
        <v>27</v>
      </c>
      <c r="C25" s="18">
        <v>938277</v>
      </c>
      <c r="D25" s="18">
        <v>2022</v>
      </c>
      <c r="E25" s="18" t="s">
        <v>65</v>
      </c>
      <c r="F25" s="18" t="s">
        <v>103</v>
      </c>
      <c r="G25" s="18" t="s">
        <v>378</v>
      </c>
      <c r="H25" s="18" t="s">
        <v>167</v>
      </c>
      <c r="I25" s="30">
        <v>980</v>
      </c>
      <c r="J25" s="30">
        <v>5880</v>
      </c>
      <c r="K25" s="30"/>
      <c r="L25" s="31">
        <f t="shared" si="0"/>
        <v>5880</v>
      </c>
      <c r="M25" s="47">
        <f t="shared" si="1"/>
        <v>0</v>
      </c>
    </row>
    <row r="26" spans="1:13" x14ac:dyDescent="0.3">
      <c r="A26" s="5" t="s">
        <v>44</v>
      </c>
      <c r="B26" s="6" t="s">
        <v>27</v>
      </c>
      <c r="C26" s="6">
        <v>938277</v>
      </c>
      <c r="D26" s="6">
        <v>2022</v>
      </c>
      <c r="E26" s="6" t="s">
        <v>67</v>
      </c>
      <c r="F26" s="6" t="s">
        <v>110</v>
      </c>
      <c r="G26" s="6" t="s">
        <v>379</v>
      </c>
      <c r="H26" s="6" t="s">
        <v>116</v>
      </c>
      <c r="I26" s="7">
        <v>2500</v>
      </c>
      <c r="J26" s="7">
        <v>2500</v>
      </c>
      <c r="K26" s="7">
        <v>2500</v>
      </c>
      <c r="L26" s="31">
        <f t="shared" si="0"/>
        <v>0</v>
      </c>
      <c r="M26" s="47">
        <f t="shared" si="1"/>
        <v>0</v>
      </c>
    </row>
    <row r="27" spans="1:13" x14ac:dyDescent="0.3">
      <c r="A27" s="17" t="s">
        <v>44</v>
      </c>
      <c r="B27" s="18" t="s">
        <v>27</v>
      </c>
      <c r="C27" s="18">
        <v>938277</v>
      </c>
      <c r="D27" s="18">
        <v>2022</v>
      </c>
      <c r="E27" s="18" t="s">
        <v>66</v>
      </c>
      <c r="F27" s="6" t="s">
        <v>110</v>
      </c>
      <c r="G27" s="18" t="s">
        <v>380</v>
      </c>
      <c r="H27" s="18">
        <v>16</v>
      </c>
      <c r="I27" s="30">
        <v>70.89</v>
      </c>
      <c r="J27" s="30">
        <f>H27*I27</f>
        <v>1134.24</v>
      </c>
      <c r="K27" s="30">
        <v>1134.24</v>
      </c>
      <c r="L27" s="31">
        <f t="shared" si="0"/>
        <v>0</v>
      </c>
      <c r="M27" s="47">
        <f t="shared" si="1"/>
        <v>0</v>
      </c>
    </row>
    <row r="28" spans="1:13" x14ac:dyDescent="0.3">
      <c r="A28" s="17" t="s">
        <v>44</v>
      </c>
      <c r="B28" s="18" t="s">
        <v>27</v>
      </c>
      <c r="C28" s="18">
        <v>938277</v>
      </c>
      <c r="D28" s="18">
        <v>2022</v>
      </c>
      <c r="E28" s="18" t="s">
        <v>65</v>
      </c>
      <c r="F28" s="6" t="s">
        <v>110</v>
      </c>
      <c r="G28" s="18" t="s">
        <v>380</v>
      </c>
      <c r="H28" s="18">
        <v>8</v>
      </c>
      <c r="I28" s="30">
        <v>70.89</v>
      </c>
      <c r="J28" s="30">
        <f>H28*I28</f>
        <v>567.12</v>
      </c>
      <c r="K28" s="30">
        <v>567.12</v>
      </c>
      <c r="L28" s="31">
        <f t="shared" si="0"/>
        <v>0</v>
      </c>
      <c r="M28" s="47">
        <f t="shared" si="1"/>
        <v>0</v>
      </c>
    </row>
    <row r="29" spans="1:13" x14ac:dyDescent="0.3">
      <c r="A29" s="5" t="s">
        <v>44</v>
      </c>
      <c r="B29" s="6" t="s">
        <v>27</v>
      </c>
      <c r="C29" s="6">
        <v>938277</v>
      </c>
      <c r="D29" s="6">
        <v>2022</v>
      </c>
      <c r="E29" s="6" t="s">
        <v>66</v>
      </c>
      <c r="F29" s="6" t="s">
        <v>110</v>
      </c>
      <c r="G29" s="6" t="s">
        <v>381</v>
      </c>
      <c r="H29" s="6">
        <v>10</v>
      </c>
      <c r="I29" s="7">
        <v>218</v>
      </c>
      <c r="J29" s="7">
        <f>H29*I29</f>
        <v>2180</v>
      </c>
      <c r="K29" s="7">
        <v>2180</v>
      </c>
      <c r="L29" s="31">
        <f t="shared" si="0"/>
        <v>0</v>
      </c>
      <c r="M29" s="47">
        <f t="shared" si="1"/>
        <v>0</v>
      </c>
    </row>
    <row r="30" spans="1:13" x14ac:dyDescent="0.3">
      <c r="A30" s="5" t="s">
        <v>44</v>
      </c>
      <c r="B30" s="6" t="s">
        <v>27</v>
      </c>
      <c r="C30" s="6">
        <v>938277</v>
      </c>
      <c r="D30" s="6">
        <v>2022</v>
      </c>
      <c r="E30" s="6" t="s">
        <v>65</v>
      </c>
      <c r="F30" s="6" t="s">
        <v>110</v>
      </c>
      <c r="G30" s="6" t="s">
        <v>381</v>
      </c>
      <c r="H30" s="6">
        <v>10</v>
      </c>
      <c r="I30" s="7">
        <v>218</v>
      </c>
      <c r="J30" s="7">
        <f>H30*I30</f>
        <v>2180</v>
      </c>
      <c r="K30" s="7">
        <v>2180</v>
      </c>
      <c r="L30" s="31">
        <f t="shared" si="0"/>
        <v>0</v>
      </c>
      <c r="M30" s="47">
        <f t="shared" si="1"/>
        <v>0</v>
      </c>
    </row>
    <row r="31" spans="1:13" x14ac:dyDescent="0.3">
      <c r="A31" s="17" t="s">
        <v>44</v>
      </c>
      <c r="B31" s="18" t="s">
        <v>27</v>
      </c>
      <c r="C31" s="18">
        <v>938277</v>
      </c>
      <c r="D31" s="18">
        <v>2022</v>
      </c>
      <c r="E31" s="18" t="s">
        <v>67</v>
      </c>
      <c r="F31" s="6" t="s">
        <v>110</v>
      </c>
      <c r="G31" s="18" t="s">
        <v>382</v>
      </c>
      <c r="H31" s="18" t="s">
        <v>137</v>
      </c>
      <c r="I31" s="30">
        <v>279</v>
      </c>
      <c r="J31" s="30">
        <v>837</v>
      </c>
      <c r="K31" s="30"/>
      <c r="L31" s="31">
        <f t="shared" si="0"/>
        <v>837</v>
      </c>
      <c r="M31" s="47">
        <f t="shared" si="1"/>
        <v>0</v>
      </c>
    </row>
    <row r="32" spans="1:13" x14ac:dyDescent="0.3">
      <c r="A32" s="5" t="s">
        <v>44</v>
      </c>
      <c r="B32" s="6" t="s">
        <v>27</v>
      </c>
      <c r="C32" s="6">
        <v>938277</v>
      </c>
      <c r="D32" s="6">
        <v>2022</v>
      </c>
      <c r="E32" s="6" t="s">
        <v>67</v>
      </c>
      <c r="F32" s="6" t="s">
        <v>110</v>
      </c>
      <c r="G32" s="6" t="s">
        <v>383</v>
      </c>
      <c r="H32" s="6" t="s">
        <v>116</v>
      </c>
      <c r="I32" s="7">
        <v>10998</v>
      </c>
      <c r="J32" s="7">
        <v>10998</v>
      </c>
      <c r="K32" s="7"/>
      <c r="L32" s="31">
        <f t="shared" si="0"/>
        <v>10998</v>
      </c>
      <c r="M32" s="47">
        <f t="shared" si="1"/>
        <v>0</v>
      </c>
    </row>
    <row r="33" spans="1:13" x14ac:dyDescent="0.3">
      <c r="A33" s="17" t="s">
        <v>44</v>
      </c>
      <c r="B33" s="18" t="s">
        <v>27</v>
      </c>
      <c r="C33" s="18">
        <v>938277</v>
      </c>
      <c r="D33" s="18">
        <v>2022</v>
      </c>
      <c r="E33" s="18" t="s">
        <v>67</v>
      </c>
      <c r="F33" s="6" t="s">
        <v>110</v>
      </c>
      <c r="G33" s="18" t="s">
        <v>384</v>
      </c>
      <c r="H33" s="18" t="s">
        <v>137</v>
      </c>
      <c r="I33" s="30">
        <v>8543.1299999999992</v>
      </c>
      <c r="J33" s="30">
        <v>25629.39</v>
      </c>
      <c r="K33" s="30">
        <v>25629.39</v>
      </c>
      <c r="L33" s="31">
        <f t="shared" si="0"/>
        <v>0</v>
      </c>
      <c r="M33" s="47">
        <f t="shared" si="1"/>
        <v>0</v>
      </c>
    </row>
    <row r="34" spans="1:13" x14ac:dyDescent="0.3">
      <c r="A34" s="5" t="s">
        <v>44</v>
      </c>
      <c r="B34" s="6" t="s">
        <v>27</v>
      </c>
      <c r="C34" s="6">
        <v>938277</v>
      </c>
      <c r="D34" s="6">
        <v>2022</v>
      </c>
      <c r="E34" s="6" t="s">
        <v>67</v>
      </c>
      <c r="F34" s="6" t="s">
        <v>110</v>
      </c>
      <c r="G34" s="6" t="s">
        <v>385</v>
      </c>
      <c r="H34" s="6" t="s">
        <v>116</v>
      </c>
      <c r="I34" s="7">
        <v>12354</v>
      </c>
      <c r="J34" s="7">
        <v>12354</v>
      </c>
      <c r="K34" s="7"/>
      <c r="L34" s="31">
        <f t="shared" si="0"/>
        <v>12354</v>
      </c>
      <c r="M34" s="47">
        <f t="shared" si="1"/>
        <v>0</v>
      </c>
    </row>
    <row r="35" spans="1:13" x14ac:dyDescent="0.3">
      <c r="A35" s="17" t="s">
        <v>44</v>
      </c>
      <c r="B35" s="18" t="s">
        <v>27</v>
      </c>
      <c r="C35" s="18">
        <v>938277</v>
      </c>
      <c r="D35" s="18">
        <v>2022</v>
      </c>
      <c r="E35" s="18" t="s">
        <v>67</v>
      </c>
      <c r="F35" s="6" t="s">
        <v>110</v>
      </c>
      <c r="G35" s="18" t="s">
        <v>386</v>
      </c>
      <c r="H35" s="18" t="s">
        <v>116</v>
      </c>
      <c r="I35" s="30">
        <v>890</v>
      </c>
      <c r="J35" s="30">
        <v>890</v>
      </c>
      <c r="K35" s="30">
        <v>890</v>
      </c>
      <c r="L35" s="31">
        <f t="shared" si="0"/>
        <v>0</v>
      </c>
      <c r="M35" s="47">
        <f t="shared" si="1"/>
        <v>0</v>
      </c>
    </row>
    <row r="36" spans="1:13" x14ac:dyDescent="0.3">
      <c r="A36" s="5" t="s">
        <v>44</v>
      </c>
      <c r="B36" s="6" t="s">
        <v>27</v>
      </c>
      <c r="C36" s="6">
        <v>938277</v>
      </c>
      <c r="D36" s="6">
        <v>2022</v>
      </c>
      <c r="E36" s="6" t="s">
        <v>67</v>
      </c>
      <c r="F36" s="6" t="s">
        <v>110</v>
      </c>
      <c r="G36" s="6" t="s">
        <v>387</v>
      </c>
      <c r="H36" s="6" t="s">
        <v>116</v>
      </c>
      <c r="I36" s="7">
        <v>999</v>
      </c>
      <c r="J36" s="7">
        <v>999</v>
      </c>
      <c r="K36" s="7"/>
      <c r="L36" s="31">
        <f t="shared" si="0"/>
        <v>999</v>
      </c>
      <c r="M36" s="47">
        <f t="shared" si="1"/>
        <v>0</v>
      </c>
    </row>
    <row r="37" spans="1:13" x14ac:dyDescent="0.3">
      <c r="A37" s="17" t="s">
        <v>44</v>
      </c>
      <c r="B37" s="18" t="s">
        <v>27</v>
      </c>
      <c r="C37" s="18">
        <v>938277</v>
      </c>
      <c r="D37" s="18">
        <v>2022</v>
      </c>
      <c r="E37" s="18" t="s">
        <v>67</v>
      </c>
      <c r="F37" s="6" t="s">
        <v>110</v>
      </c>
      <c r="G37" s="18" t="s">
        <v>388</v>
      </c>
      <c r="H37" s="18" t="s">
        <v>116</v>
      </c>
      <c r="I37" s="30">
        <v>3642.19</v>
      </c>
      <c r="J37" s="30">
        <v>3642.19</v>
      </c>
      <c r="K37" s="30"/>
      <c r="L37" s="31">
        <f t="shared" si="0"/>
        <v>3642.19</v>
      </c>
      <c r="M37" s="47">
        <f t="shared" si="1"/>
        <v>0</v>
      </c>
    </row>
    <row r="38" spans="1:13" x14ac:dyDescent="0.3">
      <c r="A38" s="5" t="s">
        <v>44</v>
      </c>
      <c r="B38" s="6" t="s">
        <v>27</v>
      </c>
      <c r="C38" s="6">
        <v>938277</v>
      </c>
      <c r="D38" s="6">
        <v>2022</v>
      </c>
      <c r="E38" s="6" t="s">
        <v>67</v>
      </c>
      <c r="F38" s="6" t="s">
        <v>110</v>
      </c>
      <c r="G38" s="6" t="s">
        <v>389</v>
      </c>
      <c r="H38" s="6" t="s">
        <v>116</v>
      </c>
      <c r="I38" s="7">
        <v>3361.9</v>
      </c>
      <c r="J38" s="7">
        <v>3361.9</v>
      </c>
      <c r="K38" s="7"/>
      <c r="L38" s="31">
        <f t="shared" si="0"/>
        <v>3361.9</v>
      </c>
      <c r="M38" s="47">
        <f t="shared" si="1"/>
        <v>0</v>
      </c>
    </row>
    <row r="39" spans="1:13" x14ac:dyDescent="0.3">
      <c r="A39" s="17" t="s">
        <v>44</v>
      </c>
      <c r="B39" s="18" t="s">
        <v>27</v>
      </c>
      <c r="C39" s="18">
        <v>938277</v>
      </c>
      <c r="D39" s="18">
        <v>2022</v>
      </c>
      <c r="E39" s="18" t="s">
        <v>67</v>
      </c>
      <c r="F39" s="6" t="s">
        <v>110</v>
      </c>
      <c r="G39" s="18" t="s">
        <v>390</v>
      </c>
      <c r="H39" s="18" t="s">
        <v>116</v>
      </c>
      <c r="I39" s="30">
        <v>10091.879999999999</v>
      </c>
      <c r="J39" s="30">
        <v>10091.879999999999</v>
      </c>
      <c r="K39" s="30"/>
      <c r="L39" s="31">
        <f t="shared" si="0"/>
        <v>10091.879999999999</v>
      </c>
      <c r="M39" s="47">
        <f t="shared" si="1"/>
        <v>0</v>
      </c>
    </row>
    <row r="40" spans="1:13" x14ac:dyDescent="0.3">
      <c r="A40" s="5" t="s">
        <v>44</v>
      </c>
      <c r="B40" s="6" t="s">
        <v>27</v>
      </c>
      <c r="C40" s="6">
        <v>938277</v>
      </c>
      <c r="D40" s="6">
        <v>2022</v>
      </c>
      <c r="E40" s="6" t="s">
        <v>67</v>
      </c>
      <c r="F40" s="6" t="s">
        <v>110</v>
      </c>
      <c r="G40" s="6" t="s">
        <v>391</v>
      </c>
      <c r="H40" s="6" t="s">
        <v>116</v>
      </c>
      <c r="I40" s="7">
        <v>4639.54</v>
      </c>
      <c r="J40" s="7">
        <v>4639.54</v>
      </c>
      <c r="K40" s="7">
        <v>4639.54</v>
      </c>
      <c r="L40" s="31">
        <f t="shared" si="0"/>
        <v>0</v>
      </c>
      <c r="M40" s="47">
        <f t="shared" si="1"/>
        <v>0</v>
      </c>
    </row>
    <row r="41" spans="1:13" x14ac:dyDescent="0.3">
      <c r="A41" s="17" t="s">
        <v>44</v>
      </c>
      <c r="B41" s="18" t="s">
        <v>27</v>
      </c>
      <c r="C41" s="18">
        <v>938277</v>
      </c>
      <c r="D41" s="18">
        <v>2022</v>
      </c>
      <c r="E41" s="18" t="s">
        <v>134</v>
      </c>
      <c r="F41" s="6" t="s">
        <v>110</v>
      </c>
      <c r="G41" s="18" t="s">
        <v>365</v>
      </c>
      <c r="H41" s="18" t="s">
        <v>116</v>
      </c>
      <c r="I41" s="30">
        <v>7267.88</v>
      </c>
      <c r="J41" s="30">
        <v>7267.88</v>
      </c>
      <c r="K41" s="30">
        <v>0</v>
      </c>
      <c r="L41" s="31">
        <f t="shared" si="0"/>
        <v>7267.88</v>
      </c>
      <c r="M41" s="47">
        <f t="shared" si="1"/>
        <v>7267.88</v>
      </c>
    </row>
    <row r="42" spans="1:13" x14ac:dyDescent="0.3">
      <c r="A42" s="5" t="s">
        <v>44</v>
      </c>
      <c r="B42" s="6" t="s">
        <v>27</v>
      </c>
      <c r="C42" s="6">
        <v>938277</v>
      </c>
      <c r="D42" s="6">
        <v>2022</v>
      </c>
      <c r="E42" s="6" t="s">
        <v>66</v>
      </c>
      <c r="F42" s="6" t="s">
        <v>110</v>
      </c>
      <c r="G42" s="6" t="s">
        <v>392</v>
      </c>
      <c r="H42" s="6" t="s">
        <v>217</v>
      </c>
      <c r="I42" s="7">
        <v>2110</v>
      </c>
      <c r="J42" s="7">
        <v>33760</v>
      </c>
      <c r="K42" s="7"/>
      <c r="L42" s="31">
        <f t="shared" si="0"/>
        <v>33760</v>
      </c>
      <c r="M42" s="47">
        <f t="shared" si="1"/>
        <v>0</v>
      </c>
    </row>
    <row r="43" spans="1:13" x14ac:dyDescent="0.3">
      <c r="A43" s="17" t="s">
        <v>44</v>
      </c>
      <c r="B43" s="18" t="s">
        <v>27</v>
      </c>
      <c r="C43" s="18">
        <v>938277</v>
      </c>
      <c r="D43" s="18">
        <v>2022</v>
      </c>
      <c r="E43" s="18" t="s">
        <v>67</v>
      </c>
      <c r="F43" s="6" t="s">
        <v>110</v>
      </c>
      <c r="G43" s="18" t="s">
        <v>393</v>
      </c>
      <c r="H43" s="18" t="s">
        <v>116</v>
      </c>
      <c r="I43" s="30">
        <v>3480</v>
      </c>
      <c r="J43" s="30">
        <v>3480</v>
      </c>
      <c r="K43" s="30"/>
      <c r="L43" s="31">
        <f t="shared" si="0"/>
        <v>3480</v>
      </c>
      <c r="M43" s="47">
        <f t="shared" si="1"/>
        <v>0</v>
      </c>
    </row>
    <row r="44" spans="1:13" x14ac:dyDescent="0.3">
      <c r="A44" s="5" t="s">
        <v>44</v>
      </c>
      <c r="B44" s="6" t="s">
        <v>27</v>
      </c>
      <c r="C44" s="6">
        <v>938277</v>
      </c>
      <c r="D44" s="6">
        <v>2022</v>
      </c>
      <c r="E44" s="6" t="s">
        <v>67</v>
      </c>
      <c r="F44" s="6" t="s">
        <v>110</v>
      </c>
      <c r="G44" s="6" t="s">
        <v>394</v>
      </c>
      <c r="H44" s="6" t="s">
        <v>116</v>
      </c>
      <c r="I44" s="7">
        <v>865.18</v>
      </c>
      <c r="J44" s="7">
        <v>865.18</v>
      </c>
      <c r="K44" s="7"/>
      <c r="L44" s="31">
        <f t="shared" si="0"/>
        <v>865.18</v>
      </c>
      <c r="M44" s="47">
        <f t="shared" si="1"/>
        <v>0</v>
      </c>
    </row>
    <row r="45" spans="1:13" x14ac:dyDescent="0.3">
      <c r="A45" s="17" t="s">
        <v>44</v>
      </c>
      <c r="B45" s="18" t="s">
        <v>27</v>
      </c>
      <c r="C45" s="18">
        <v>938277</v>
      </c>
      <c r="D45" s="18">
        <v>2022</v>
      </c>
      <c r="E45" s="18" t="s">
        <v>67</v>
      </c>
      <c r="F45" s="6" t="s">
        <v>110</v>
      </c>
      <c r="G45" s="18" t="s">
        <v>395</v>
      </c>
      <c r="H45" s="18" t="s">
        <v>116</v>
      </c>
      <c r="I45" s="30">
        <v>799.99</v>
      </c>
      <c r="J45" s="30">
        <v>799.99</v>
      </c>
      <c r="K45" s="30">
        <v>799.99</v>
      </c>
      <c r="L45" s="31">
        <f t="shared" si="0"/>
        <v>0</v>
      </c>
      <c r="M45" s="47">
        <f t="shared" si="1"/>
        <v>0</v>
      </c>
    </row>
    <row r="46" spans="1:13" x14ac:dyDescent="0.3">
      <c r="A46" s="5" t="s">
        <v>44</v>
      </c>
      <c r="B46" s="6" t="s">
        <v>27</v>
      </c>
      <c r="C46" s="6">
        <v>938277</v>
      </c>
      <c r="D46" s="6">
        <v>2022</v>
      </c>
      <c r="E46" s="6" t="s">
        <v>67</v>
      </c>
      <c r="F46" s="6" t="s">
        <v>110</v>
      </c>
      <c r="G46" s="6" t="s">
        <v>396</v>
      </c>
      <c r="H46" s="6" t="s">
        <v>116</v>
      </c>
      <c r="I46" s="7">
        <v>3835.59</v>
      </c>
      <c r="J46" s="7">
        <v>3835.59</v>
      </c>
      <c r="K46" s="7">
        <v>3835.59</v>
      </c>
      <c r="L46" s="31">
        <f t="shared" si="0"/>
        <v>0</v>
      </c>
      <c r="M46" s="47">
        <f t="shared" si="1"/>
        <v>0</v>
      </c>
    </row>
    <row r="47" spans="1:13" x14ac:dyDescent="0.3">
      <c r="A47" s="17" t="s">
        <v>44</v>
      </c>
      <c r="B47" s="18" t="s">
        <v>27</v>
      </c>
      <c r="C47" s="18">
        <v>938277</v>
      </c>
      <c r="D47" s="18">
        <v>2022</v>
      </c>
      <c r="E47" s="18" t="s">
        <v>67</v>
      </c>
      <c r="F47" s="6" t="s">
        <v>110</v>
      </c>
      <c r="G47" s="18" t="s">
        <v>397</v>
      </c>
      <c r="H47" s="18">
        <v>1</v>
      </c>
      <c r="I47" s="30">
        <v>5068</v>
      </c>
      <c r="J47" s="30">
        <f>H47*I47</f>
        <v>5068</v>
      </c>
      <c r="K47" s="30"/>
      <c r="L47" s="31">
        <f t="shared" si="0"/>
        <v>5068</v>
      </c>
      <c r="M47" s="47">
        <f t="shared" si="1"/>
        <v>0</v>
      </c>
    </row>
    <row r="48" spans="1:13" x14ac:dyDescent="0.3">
      <c r="A48" s="17" t="s">
        <v>44</v>
      </c>
      <c r="B48" s="18" t="s">
        <v>27</v>
      </c>
      <c r="C48" s="18">
        <v>938277</v>
      </c>
      <c r="D48" s="18">
        <v>2022</v>
      </c>
      <c r="E48" s="18" t="s">
        <v>66</v>
      </c>
      <c r="F48" s="6" t="s">
        <v>110</v>
      </c>
      <c r="G48" s="18" t="s">
        <v>397</v>
      </c>
      <c r="H48" s="18">
        <v>2</v>
      </c>
      <c r="I48" s="30">
        <v>5068</v>
      </c>
      <c r="J48" s="30">
        <f>H48*I48</f>
        <v>10136</v>
      </c>
      <c r="K48" s="30"/>
      <c r="L48" s="31">
        <f t="shared" si="0"/>
        <v>10136</v>
      </c>
      <c r="M48" s="47">
        <f t="shared" si="1"/>
        <v>0</v>
      </c>
    </row>
    <row r="49" spans="1:13" x14ac:dyDescent="0.3">
      <c r="A49" s="17" t="s">
        <v>44</v>
      </c>
      <c r="B49" s="18" t="s">
        <v>27</v>
      </c>
      <c r="C49" s="18">
        <v>938277</v>
      </c>
      <c r="D49" s="18">
        <v>2022</v>
      </c>
      <c r="E49" s="18" t="s">
        <v>65</v>
      </c>
      <c r="F49" s="6" t="s">
        <v>110</v>
      </c>
      <c r="G49" s="18" t="s">
        <v>397</v>
      </c>
      <c r="H49" s="18">
        <v>10</v>
      </c>
      <c r="I49" s="30">
        <v>5068</v>
      </c>
      <c r="J49" s="30">
        <f>H49*I49</f>
        <v>50680</v>
      </c>
      <c r="K49" s="30"/>
      <c r="L49" s="31">
        <f t="shared" si="0"/>
        <v>50680</v>
      </c>
      <c r="M49" s="47">
        <f t="shared" si="1"/>
        <v>0</v>
      </c>
    </row>
    <row r="50" spans="1:13" x14ac:dyDescent="0.3">
      <c r="A50" s="5" t="s">
        <v>44</v>
      </c>
      <c r="B50" s="6" t="s">
        <v>27</v>
      </c>
      <c r="C50" s="6">
        <v>938277</v>
      </c>
      <c r="D50" s="6">
        <v>2022</v>
      </c>
      <c r="E50" s="6" t="s">
        <v>67</v>
      </c>
      <c r="F50" s="6" t="s">
        <v>110</v>
      </c>
      <c r="G50" s="6" t="s">
        <v>398</v>
      </c>
      <c r="H50" s="6" t="s">
        <v>116</v>
      </c>
      <c r="I50" s="7">
        <v>2650</v>
      </c>
      <c r="J50" s="7">
        <v>2650</v>
      </c>
      <c r="K50" s="7">
        <v>2650</v>
      </c>
      <c r="L50" s="31">
        <f t="shared" si="0"/>
        <v>0</v>
      </c>
      <c r="M50" s="47">
        <f t="shared" si="1"/>
        <v>0</v>
      </c>
    </row>
    <row r="51" spans="1:13" x14ac:dyDescent="0.3">
      <c r="A51" s="17" t="s">
        <v>44</v>
      </c>
      <c r="B51" s="18" t="s">
        <v>27</v>
      </c>
      <c r="C51" s="18">
        <v>938277</v>
      </c>
      <c r="D51" s="18">
        <v>2022</v>
      </c>
      <c r="E51" s="18" t="s">
        <v>67</v>
      </c>
      <c r="F51" s="6" t="s">
        <v>110</v>
      </c>
      <c r="G51" s="18" t="s">
        <v>399</v>
      </c>
      <c r="H51" s="18">
        <v>2</v>
      </c>
      <c r="I51" s="30">
        <v>4500</v>
      </c>
      <c r="J51" s="30">
        <f>H51*I51</f>
        <v>9000</v>
      </c>
      <c r="K51" s="30"/>
      <c r="L51" s="31">
        <f t="shared" si="0"/>
        <v>9000</v>
      </c>
      <c r="M51" s="47">
        <f t="shared" si="1"/>
        <v>0</v>
      </c>
    </row>
    <row r="52" spans="1:13" x14ac:dyDescent="0.3">
      <c r="A52" s="5" t="s">
        <v>44</v>
      </c>
      <c r="B52" s="6" t="s">
        <v>27</v>
      </c>
      <c r="C52" s="6">
        <v>938277</v>
      </c>
      <c r="D52" s="6">
        <v>2022</v>
      </c>
      <c r="E52" s="6" t="s">
        <v>66</v>
      </c>
      <c r="F52" s="6" t="s">
        <v>110</v>
      </c>
      <c r="G52" s="6" t="s">
        <v>399</v>
      </c>
      <c r="H52" s="6">
        <v>10</v>
      </c>
      <c r="I52" s="7">
        <v>4500</v>
      </c>
      <c r="J52" s="7">
        <f>H52*I52</f>
        <v>45000</v>
      </c>
      <c r="K52" s="7"/>
      <c r="L52" s="31">
        <f t="shared" si="0"/>
        <v>45000</v>
      </c>
      <c r="M52" s="47">
        <f t="shared" si="1"/>
        <v>0</v>
      </c>
    </row>
    <row r="53" spans="1:13" x14ac:dyDescent="0.3">
      <c r="A53" s="17" t="s">
        <v>44</v>
      </c>
      <c r="B53" s="18" t="s">
        <v>27</v>
      </c>
      <c r="C53" s="18">
        <v>938277</v>
      </c>
      <c r="D53" s="18">
        <v>2022</v>
      </c>
      <c r="E53" s="18" t="s">
        <v>65</v>
      </c>
      <c r="F53" s="6" t="s">
        <v>110</v>
      </c>
      <c r="G53" s="18" t="s">
        <v>399</v>
      </c>
      <c r="H53" s="18">
        <v>2</v>
      </c>
      <c r="I53" s="30">
        <v>4500</v>
      </c>
      <c r="J53" s="30">
        <f>H53*I53</f>
        <v>9000</v>
      </c>
      <c r="K53" s="30"/>
      <c r="L53" s="31">
        <f t="shared" si="0"/>
        <v>9000</v>
      </c>
      <c r="M53" s="47">
        <f t="shared" si="1"/>
        <v>0</v>
      </c>
    </row>
  </sheetData>
  <autoFilter ref="A1:L53" xr:uid="{D19C82D0-08F3-47D4-89FB-8BC445800005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AA79-DBE1-42A0-9210-B49992E6F0A5}">
  <dimension ref="A1:M21"/>
  <sheetViews>
    <sheetView zoomScale="70" zoomScaleNormal="70" workbookViewId="0">
      <selection activeCell="K31" sqref="K31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9" t="s">
        <v>0</v>
      </c>
      <c r="B1" s="10" t="s">
        <v>1</v>
      </c>
      <c r="C1" s="10" t="s">
        <v>2</v>
      </c>
      <c r="D1" s="10" t="s">
        <v>3</v>
      </c>
      <c r="E1" s="27" t="s">
        <v>94</v>
      </c>
      <c r="F1" s="27" t="s">
        <v>95</v>
      </c>
      <c r="G1" s="27" t="s">
        <v>96</v>
      </c>
      <c r="H1" s="27" t="s">
        <v>97</v>
      </c>
      <c r="I1" s="28" t="s">
        <v>98</v>
      </c>
      <c r="J1" s="28" t="s">
        <v>99</v>
      </c>
      <c r="K1" s="28" t="s">
        <v>100</v>
      </c>
      <c r="L1" s="29" t="s">
        <v>101</v>
      </c>
      <c r="M1" s="46" t="s">
        <v>102</v>
      </c>
    </row>
    <row r="2" spans="1:13" x14ac:dyDescent="0.3">
      <c r="A2" s="17" t="s">
        <v>46</v>
      </c>
      <c r="B2" s="18" t="s">
        <v>27</v>
      </c>
      <c r="C2" s="18">
        <v>937818</v>
      </c>
      <c r="D2" s="18">
        <v>2022</v>
      </c>
      <c r="E2" s="18" t="s">
        <v>66</v>
      </c>
      <c r="F2" s="18" t="s">
        <v>103</v>
      </c>
      <c r="G2" s="18" t="s">
        <v>400</v>
      </c>
      <c r="H2" s="18" t="s">
        <v>116</v>
      </c>
      <c r="I2" s="30">
        <v>76333.33</v>
      </c>
      <c r="J2" s="30">
        <v>76333.33</v>
      </c>
      <c r="K2" s="30"/>
      <c r="L2" s="31">
        <v>76333.33</v>
      </c>
      <c r="M2" s="47">
        <f>IF(E2="N/A", J2, IF(OR(K2=0, ISBLANK(K2), K2=""), 0, J2-K2))</f>
        <v>0</v>
      </c>
    </row>
    <row r="3" spans="1:13" x14ac:dyDescent="0.3">
      <c r="A3" s="5" t="s">
        <v>46</v>
      </c>
      <c r="B3" s="6" t="s">
        <v>27</v>
      </c>
      <c r="C3" s="6">
        <v>937818</v>
      </c>
      <c r="D3" s="6">
        <v>2022</v>
      </c>
      <c r="E3" s="6" t="s">
        <v>65</v>
      </c>
      <c r="F3" s="6" t="s">
        <v>110</v>
      </c>
      <c r="G3" s="6" t="s">
        <v>401</v>
      </c>
      <c r="H3" s="6">
        <v>2</v>
      </c>
      <c r="I3" s="7">
        <v>1399</v>
      </c>
      <c r="J3" s="7">
        <f>H3*I3</f>
        <v>2798</v>
      </c>
      <c r="K3" s="7"/>
      <c r="L3" s="8">
        <v>2798</v>
      </c>
      <c r="M3" s="47">
        <f t="shared" ref="M3:M18" si="0">IF(E3="N/A", J3, IF(OR(K3=0, ISBLANK(K3), K3=""), 0, J3-K3))</f>
        <v>0</v>
      </c>
    </row>
    <row r="4" spans="1:13" x14ac:dyDescent="0.3">
      <c r="A4" s="5" t="s">
        <v>46</v>
      </c>
      <c r="B4" s="6" t="s">
        <v>27</v>
      </c>
      <c r="C4" s="6">
        <v>937818</v>
      </c>
      <c r="D4" s="6">
        <v>2022</v>
      </c>
      <c r="E4" s="6" t="s">
        <v>67</v>
      </c>
      <c r="F4" s="6" t="s">
        <v>110</v>
      </c>
      <c r="G4" s="6" t="s">
        <v>401</v>
      </c>
      <c r="H4" s="6">
        <v>8</v>
      </c>
      <c r="I4" s="7">
        <v>1399</v>
      </c>
      <c r="J4" s="7">
        <f>H4*I4</f>
        <v>11192</v>
      </c>
      <c r="K4" s="7"/>
      <c r="L4" s="8">
        <v>11192</v>
      </c>
      <c r="M4" s="47">
        <f t="shared" si="0"/>
        <v>0</v>
      </c>
    </row>
    <row r="5" spans="1:13" x14ac:dyDescent="0.3">
      <c r="A5" s="17" t="s">
        <v>46</v>
      </c>
      <c r="B5" s="18" t="s">
        <v>27</v>
      </c>
      <c r="C5" s="18">
        <v>937818</v>
      </c>
      <c r="D5" s="18">
        <v>2022</v>
      </c>
      <c r="E5" s="18" t="s">
        <v>67</v>
      </c>
      <c r="F5" s="6" t="s">
        <v>110</v>
      </c>
      <c r="G5" s="18" t="s">
        <v>402</v>
      </c>
      <c r="H5" s="18" t="s">
        <v>403</v>
      </c>
      <c r="I5" s="30">
        <v>2464</v>
      </c>
      <c r="J5" s="30">
        <v>46816</v>
      </c>
      <c r="K5" s="30"/>
      <c r="L5" s="31">
        <v>46816</v>
      </c>
      <c r="M5" s="47">
        <f t="shared" si="0"/>
        <v>0</v>
      </c>
    </row>
    <row r="6" spans="1:13" x14ac:dyDescent="0.3">
      <c r="A6" s="5" t="s">
        <v>46</v>
      </c>
      <c r="B6" s="6" t="s">
        <v>27</v>
      </c>
      <c r="C6" s="6">
        <v>937818</v>
      </c>
      <c r="D6" s="6">
        <v>2022</v>
      </c>
      <c r="E6" s="6" t="s">
        <v>67</v>
      </c>
      <c r="F6" s="6" t="s">
        <v>110</v>
      </c>
      <c r="G6" s="6" t="s">
        <v>402</v>
      </c>
      <c r="H6" s="6">
        <v>10</v>
      </c>
      <c r="I6" s="7">
        <v>2573.6999999999998</v>
      </c>
      <c r="J6" s="7">
        <f>H6*I6</f>
        <v>25737</v>
      </c>
      <c r="K6" s="7"/>
      <c r="L6" s="8">
        <v>25737</v>
      </c>
      <c r="M6" s="47">
        <f t="shared" si="0"/>
        <v>0</v>
      </c>
    </row>
    <row r="7" spans="1:13" x14ac:dyDescent="0.3">
      <c r="A7" s="5" t="s">
        <v>46</v>
      </c>
      <c r="B7" s="6" t="s">
        <v>27</v>
      </c>
      <c r="C7" s="6">
        <v>937818</v>
      </c>
      <c r="D7" s="6">
        <v>2022</v>
      </c>
      <c r="E7" s="6" t="s">
        <v>66</v>
      </c>
      <c r="F7" s="6" t="s">
        <v>110</v>
      </c>
      <c r="G7" s="6" t="s">
        <v>402</v>
      </c>
      <c r="H7" s="6">
        <v>6</v>
      </c>
      <c r="I7" s="7">
        <v>2573.6999999999998</v>
      </c>
      <c r="J7" s="7">
        <f>H7*I7</f>
        <v>15442.199999999999</v>
      </c>
      <c r="K7" s="7"/>
      <c r="L7" s="8">
        <v>15442.199999999999</v>
      </c>
      <c r="M7" s="47">
        <f t="shared" si="0"/>
        <v>0</v>
      </c>
    </row>
    <row r="8" spans="1:13" x14ac:dyDescent="0.3">
      <c r="A8" s="17" t="s">
        <v>46</v>
      </c>
      <c r="B8" s="18" t="s">
        <v>27</v>
      </c>
      <c r="C8" s="18">
        <v>937818</v>
      </c>
      <c r="D8" s="18">
        <v>2022</v>
      </c>
      <c r="E8" s="18" t="s">
        <v>65</v>
      </c>
      <c r="F8" s="6" t="s">
        <v>110</v>
      </c>
      <c r="G8" s="18" t="s">
        <v>404</v>
      </c>
      <c r="H8" s="18" t="s">
        <v>133</v>
      </c>
      <c r="I8" s="30">
        <v>8498</v>
      </c>
      <c r="J8" s="30">
        <v>16996</v>
      </c>
      <c r="K8" s="30"/>
      <c r="L8" s="31">
        <v>16996</v>
      </c>
      <c r="M8" s="47">
        <f t="shared" si="0"/>
        <v>0</v>
      </c>
    </row>
    <row r="9" spans="1:13" x14ac:dyDescent="0.3">
      <c r="A9" s="5" t="s">
        <v>46</v>
      </c>
      <c r="B9" s="6" t="s">
        <v>27</v>
      </c>
      <c r="C9" s="6">
        <v>937818</v>
      </c>
      <c r="D9" s="6">
        <v>2022</v>
      </c>
      <c r="E9" s="6" t="s">
        <v>65</v>
      </c>
      <c r="F9" s="6" t="s">
        <v>110</v>
      </c>
      <c r="G9" s="6" t="s">
        <v>405</v>
      </c>
      <c r="H9" s="6">
        <v>2</v>
      </c>
      <c r="I9" s="7">
        <v>2490.0100000000002</v>
      </c>
      <c r="J9" s="7">
        <f>H9*I9</f>
        <v>4980.0200000000004</v>
      </c>
      <c r="K9" s="7"/>
      <c r="L9" s="8">
        <v>4980.0200000000004</v>
      </c>
      <c r="M9" s="47">
        <f t="shared" si="0"/>
        <v>0</v>
      </c>
    </row>
    <row r="10" spans="1:13" x14ac:dyDescent="0.3">
      <c r="A10" s="5" t="s">
        <v>46</v>
      </c>
      <c r="B10" s="6" t="s">
        <v>27</v>
      </c>
      <c r="C10" s="6">
        <v>937818</v>
      </c>
      <c r="D10" s="6">
        <v>2022</v>
      </c>
      <c r="E10" s="6" t="s">
        <v>67</v>
      </c>
      <c r="F10" s="6" t="s">
        <v>110</v>
      </c>
      <c r="G10" s="6" t="s">
        <v>405</v>
      </c>
      <c r="H10" s="6">
        <v>8</v>
      </c>
      <c r="I10" s="7">
        <v>2490.0100000000002</v>
      </c>
      <c r="J10" s="7">
        <f>H10*I10</f>
        <v>19920.080000000002</v>
      </c>
      <c r="K10" s="7"/>
      <c r="L10" s="8">
        <v>19920.080000000002</v>
      </c>
      <c r="M10" s="47">
        <f t="shared" si="0"/>
        <v>0</v>
      </c>
    </row>
    <row r="11" spans="1:13" x14ac:dyDescent="0.3">
      <c r="A11" s="17" t="s">
        <v>46</v>
      </c>
      <c r="B11" s="18" t="s">
        <v>27</v>
      </c>
      <c r="C11" s="18">
        <v>937818</v>
      </c>
      <c r="D11" s="18">
        <v>2022</v>
      </c>
      <c r="E11" s="18" t="s">
        <v>67</v>
      </c>
      <c r="F11" s="6" t="s">
        <v>110</v>
      </c>
      <c r="G11" s="18" t="s">
        <v>406</v>
      </c>
      <c r="H11" s="18" t="s">
        <v>326</v>
      </c>
      <c r="I11" s="30">
        <v>1895</v>
      </c>
      <c r="J11" s="30">
        <v>24635</v>
      </c>
      <c r="K11" s="30">
        <v>24635</v>
      </c>
      <c r="L11" s="31">
        <v>0</v>
      </c>
      <c r="M11" s="47">
        <f t="shared" si="0"/>
        <v>0</v>
      </c>
    </row>
    <row r="12" spans="1:13" x14ac:dyDescent="0.3">
      <c r="A12" s="5" t="s">
        <v>46</v>
      </c>
      <c r="B12" s="6" t="s">
        <v>27</v>
      </c>
      <c r="C12" s="6">
        <v>937818</v>
      </c>
      <c r="D12" s="6">
        <v>2022</v>
      </c>
      <c r="E12" s="6" t="s">
        <v>67</v>
      </c>
      <c r="F12" s="6" t="s">
        <v>110</v>
      </c>
      <c r="G12" s="6" t="s">
        <v>406</v>
      </c>
      <c r="H12" s="6" t="s">
        <v>133</v>
      </c>
      <c r="I12" s="7">
        <v>1895</v>
      </c>
      <c r="J12" s="7">
        <v>3790</v>
      </c>
      <c r="K12" s="7"/>
      <c r="L12" s="8">
        <v>3790</v>
      </c>
      <c r="M12" s="47">
        <f t="shared" si="0"/>
        <v>0</v>
      </c>
    </row>
    <row r="13" spans="1:13" x14ac:dyDescent="0.3">
      <c r="A13" s="17" t="s">
        <v>46</v>
      </c>
      <c r="B13" s="18" t="s">
        <v>27</v>
      </c>
      <c r="C13" s="18">
        <v>937818</v>
      </c>
      <c r="D13" s="18">
        <v>2022</v>
      </c>
      <c r="E13" s="18" t="s">
        <v>67</v>
      </c>
      <c r="F13" s="6" t="s">
        <v>110</v>
      </c>
      <c r="G13" s="18" t="s">
        <v>406</v>
      </c>
      <c r="H13" s="18" t="s">
        <v>133</v>
      </c>
      <c r="I13" s="30">
        <v>1895</v>
      </c>
      <c r="J13" s="30">
        <v>3790</v>
      </c>
      <c r="K13" s="30">
        <v>3790</v>
      </c>
      <c r="L13" s="31">
        <v>0</v>
      </c>
      <c r="M13" s="47">
        <f t="shared" si="0"/>
        <v>0</v>
      </c>
    </row>
    <row r="14" spans="1:13" x14ac:dyDescent="0.3">
      <c r="A14" s="5" t="s">
        <v>46</v>
      </c>
      <c r="B14" s="6" t="s">
        <v>27</v>
      </c>
      <c r="C14" s="6">
        <v>937818</v>
      </c>
      <c r="D14" s="6">
        <v>2022</v>
      </c>
      <c r="E14" s="6" t="s">
        <v>67</v>
      </c>
      <c r="F14" s="6" t="s">
        <v>110</v>
      </c>
      <c r="G14" s="6" t="s">
        <v>407</v>
      </c>
      <c r="H14" s="6" t="s">
        <v>126</v>
      </c>
      <c r="I14" s="7">
        <v>4599</v>
      </c>
      <c r="J14" s="7">
        <v>45990</v>
      </c>
      <c r="K14" s="7"/>
      <c r="L14" s="8">
        <v>45990</v>
      </c>
      <c r="M14" s="47">
        <f t="shared" si="0"/>
        <v>0</v>
      </c>
    </row>
    <row r="15" spans="1:13" x14ac:dyDescent="0.3">
      <c r="A15" s="17" t="s">
        <v>46</v>
      </c>
      <c r="B15" s="18" t="s">
        <v>27</v>
      </c>
      <c r="C15" s="18">
        <v>937818</v>
      </c>
      <c r="D15" s="18">
        <v>2022</v>
      </c>
      <c r="E15" s="18" t="s">
        <v>66</v>
      </c>
      <c r="F15" s="6" t="s">
        <v>110</v>
      </c>
      <c r="G15" s="18" t="s">
        <v>408</v>
      </c>
      <c r="H15" s="18">
        <v>1</v>
      </c>
      <c r="I15" s="30">
        <v>3759.52</v>
      </c>
      <c r="J15" s="30">
        <v>3759.52</v>
      </c>
      <c r="K15" s="30"/>
      <c r="L15" s="30">
        <v>3759.52</v>
      </c>
      <c r="M15" s="47">
        <f t="shared" si="0"/>
        <v>0</v>
      </c>
    </row>
    <row r="16" spans="1:13" x14ac:dyDescent="0.3">
      <c r="A16" s="17" t="s">
        <v>46</v>
      </c>
      <c r="B16" s="18" t="s">
        <v>27</v>
      </c>
      <c r="C16" s="18">
        <v>937818</v>
      </c>
      <c r="D16" s="18">
        <v>2022</v>
      </c>
      <c r="E16" s="18" t="s">
        <v>67</v>
      </c>
      <c r="F16" s="6" t="s">
        <v>110</v>
      </c>
      <c r="G16" s="18" t="s">
        <v>408</v>
      </c>
      <c r="H16" s="18">
        <v>2</v>
      </c>
      <c r="I16" s="30">
        <v>3759.52</v>
      </c>
      <c r="J16" s="30">
        <f>H16*I16</f>
        <v>7519.04</v>
      </c>
      <c r="K16" s="30"/>
      <c r="L16" s="31">
        <v>7519.04</v>
      </c>
      <c r="M16" s="47">
        <f t="shared" si="0"/>
        <v>0</v>
      </c>
    </row>
    <row r="17" spans="1:13" x14ac:dyDescent="0.3">
      <c r="A17" s="5" t="s">
        <v>46</v>
      </c>
      <c r="B17" s="6" t="s">
        <v>27</v>
      </c>
      <c r="C17" s="6">
        <v>937818</v>
      </c>
      <c r="D17" s="6">
        <v>2022</v>
      </c>
      <c r="E17" s="6" t="s">
        <v>67</v>
      </c>
      <c r="F17" s="6" t="s">
        <v>110</v>
      </c>
      <c r="G17" s="6" t="s">
        <v>409</v>
      </c>
      <c r="H17" s="6" t="s">
        <v>116</v>
      </c>
      <c r="I17" s="7">
        <v>5398.9</v>
      </c>
      <c r="J17" s="7">
        <v>5398.9</v>
      </c>
      <c r="K17" s="7"/>
      <c r="L17" s="8">
        <v>5398.9</v>
      </c>
      <c r="M17" s="47">
        <f t="shared" si="0"/>
        <v>0</v>
      </c>
    </row>
    <row r="18" spans="1:13" x14ac:dyDescent="0.3">
      <c r="A18" s="17" t="s">
        <v>46</v>
      </c>
      <c r="B18" s="18" t="s">
        <v>27</v>
      </c>
      <c r="C18" s="18">
        <v>937818</v>
      </c>
      <c r="D18" s="18">
        <v>2022</v>
      </c>
      <c r="E18" s="18" t="s">
        <v>65</v>
      </c>
      <c r="F18" s="6" t="s">
        <v>110</v>
      </c>
      <c r="G18" s="18" t="s">
        <v>410</v>
      </c>
      <c r="H18" s="18" t="s">
        <v>116</v>
      </c>
      <c r="I18" s="30">
        <v>2660</v>
      </c>
      <c r="J18" s="30">
        <v>2660</v>
      </c>
      <c r="K18" s="30">
        <v>2660</v>
      </c>
      <c r="L18" s="31">
        <v>0</v>
      </c>
      <c r="M18" s="47">
        <f t="shared" si="0"/>
        <v>0</v>
      </c>
    </row>
    <row r="19" spans="1:13" x14ac:dyDescent="0.3">
      <c r="A19" s="5"/>
      <c r="B19" s="6"/>
      <c r="C19" s="6"/>
      <c r="D19" s="6"/>
      <c r="E19" s="6"/>
      <c r="F19" s="6"/>
      <c r="G19" s="6"/>
      <c r="H19" s="6"/>
      <c r="I19" s="7"/>
      <c r="J19" s="7"/>
      <c r="K19" s="7"/>
      <c r="L19" s="8"/>
    </row>
    <row r="20" spans="1:13" x14ac:dyDescent="0.3">
      <c r="A20" s="17"/>
      <c r="B20" s="18"/>
      <c r="C20" s="18"/>
      <c r="D20" s="18"/>
      <c r="E20" s="18"/>
      <c r="F20" s="18"/>
      <c r="G20" s="18"/>
      <c r="H20" s="18"/>
      <c r="I20" s="30"/>
      <c r="J20" s="30"/>
      <c r="K20" s="30"/>
      <c r="L20" s="31"/>
    </row>
    <row r="21" spans="1:13" x14ac:dyDescent="0.3">
      <c r="A21" s="5"/>
      <c r="B21" s="6"/>
      <c r="C21" s="6"/>
      <c r="D21" s="6"/>
      <c r="E21" s="6"/>
      <c r="F21" s="6"/>
      <c r="G21" s="6"/>
      <c r="H21" s="6"/>
      <c r="I21" s="7"/>
      <c r="J21" s="7"/>
      <c r="K21" s="7"/>
      <c r="L21" s="8"/>
    </row>
  </sheetData>
  <autoFilter ref="A1:M18" xr:uid="{D820AA79-DBE1-42A0-9210-B49992E6F0A5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8F27-616C-4167-A382-41D7772815D3}">
  <dimension ref="A1:M29"/>
  <sheetViews>
    <sheetView zoomScale="70" zoomScaleNormal="70" workbookViewId="0">
      <selection sqref="A1:M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4.59765625" style="3" bestFit="1" customWidth="1"/>
    <col min="13" max="13" width="15.8984375" bestFit="1" customWidth="1"/>
  </cols>
  <sheetData>
    <row r="1" spans="1:13" ht="46.8" x14ac:dyDescent="0.3">
      <c r="A1" s="9" t="s">
        <v>0</v>
      </c>
      <c r="B1" s="10" t="s">
        <v>1</v>
      </c>
      <c r="C1" s="10" t="s">
        <v>2</v>
      </c>
      <c r="D1" s="10" t="s">
        <v>3</v>
      </c>
      <c r="E1" s="27" t="s">
        <v>94</v>
      </c>
      <c r="F1" s="27" t="s">
        <v>95</v>
      </c>
      <c r="G1" s="27" t="s">
        <v>96</v>
      </c>
      <c r="H1" s="27" t="s">
        <v>97</v>
      </c>
      <c r="I1" s="28" t="s">
        <v>98</v>
      </c>
      <c r="J1" s="28" t="s">
        <v>99</v>
      </c>
      <c r="K1" s="28" t="s">
        <v>100</v>
      </c>
      <c r="L1" s="29" t="s">
        <v>101</v>
      </c>
      <c r="M1" s="46" t="s">
        <v>102</v>
      </c>
    </row>
    <row r="2" spans="1:13" x14ac:dyDescent="0.3">
      <c r="A2" s="17" t="s">
        <v>48</v>
      </c>
      <c r="B2" s="18" t="s">
        <v>27</v>
      </c>
      <c r="C2" s="18">
        <v>937780</v>
      </c>
      <c r="D2" s="18">
        <v>2022</v>
      </c>
      <c r="E2" s="18" t="s">
        <v>67</v>
      </c>
      <c r="F2" s="18" t="s">
        <v>103</v>
      </c>
      <c r="G2" s="18" t="s">
        <v>411</v>
      </c>
      <c r="H2" s="18" t="s">
        <v>315</v>
      </c>
      <c r="I2" s="30">
        <v>2.06</v>
      </c>
      <c r="J2" s="30">
        <v>1030</v>
      </c>
      <c r="K2" s="30">
        <v>1030</v>
      </c>
      <c r="L2" s="31">
        <v>0</v>
      </c>
      <c r="M2" s="47">
        <f>IF(E2="N/A", J2, IF(OR(K2=0, ISBLANK(K2), K2=""), 0, J2-K2))</f>
        <v>0</v>
      </c>
    </row>
    <row r="3" spans="1:13" x14ac:dyDescent="0.3">
      <c r="A3" s="5" t="s">
        <v>48</v>
      </c>
      <c r="B3" s="6" t="s">
        <v>27</v>
      </c>
      <c r="C3" s="6">
        <v>937780</v>
      </c>
      <c r="D3" s="6">
        <v>2022</v>
      </c>
      <c r="E3" s="6" t="s">
        <v>67</v>
      </c>
      <c r="F3" s="18" t="s">
        <v>103</v>
      </c>
      <c r="G3" s="6" t="s">
        <v>412</v>
      </c>
      <c r="H3" s="6" t="s">
        <v>370</v>
      </c>
      <c r="I3" s="7">
        <v>46.98</v>
      </c>
      <c r="J3" s="7">
        <v>2818.8</v>
      </c>
      <c r="K3" s="7">
        <v>2818.8</v>
      </c>
      <c r="L3" s="8">
        <v>0</v>
      </c>
      <c r="M3" s="47">
        <f t="shared" ref="M3:M25" si="0">IF(E3="N/A", J3, IF(OR(K3=0, ISBLANK(K3), K3=""), 0, J3-K3))</f>
        <v>0</v>
      </c>
    </row>
    <row r="4" spans="1:13" x14ac:dyDescent="0.3">
      <c r="A4" s="17" t="s">
        <v>48</v>
      </c>
      <c r="B4" s="18" t="s">
        <v>27</v>
      </c>
      <c r="C4" s="18">
        <v>937780</v>
      </c>
      <c r="D4" s="18">
        <v>2022</v>
      </c>
      <c r="E4" s="18" t="s">
        <v>65</v>
      </c>
      <c r="F4" s="18" t="s">
        <v>103</v>
      </c>
      <c r="G4" s="18" t="s">
        <v>413</v>
      </c>
      <c r="H4" s="18" t="s">
        <v>215</v>
      </c>
      <c r="I4" s="30">
        <v>40.26</v>
      </c>
      <c r="J4" s="30">
        <v>1610.4</v>
      </c>
      <c r="K4" s="30"/>
      <c r="L4" s="31">
        <v>1610.4</v>
      </c>
      <c r="M4" s="47">
        <f t="shared" si="0"/>
        <v>0</v>
      </c>
    </row>
    <row r="5" spans="1:13" x14ac:dyDescent="0.3">
      <c r="A5" s="5" t="s">
        <v>48</v>
      </c>
      <c r="B5" s="6" t="s">
        <v>27</v>
      </c>
      <c r="C5" s="6">
        <v>937780</v>
      </c>
      <c r="D5" s="6">
        <v>2022</v>
      </c>
      <c r="E5" s="6" t="s">
        <v>65</v>
      </c>
      <c r="F5" s="18" t="s">
        <v>103</v>
      </c>
      <c r="G5" s="6" t="s">
        <v>414</v>
      </c>
      <c r="H5" s="6" t="s">
        <v>275</v>
      </c>
      <c r="I5" s="7">
        <v>107.33</v>
      </c>
      <c r="J5" s="7">
        <v>1931.94</v>
      </c>
      <c r="K5" s="7"/>
      <c r="L5" s="8">
        <v>1931.94</v>
      </c>
      <c r="M5" s="47">
        <f t="shared" si="0"/>
        <v>0</v>
      </c>
    </row>
    <row r="6" spans="1:13" x14ac:dyDescent="0.3">
      <c r="A6" s="17" t="s">
        <v>48</v>
      </c>
      <c r="B6" s="18" t="s">
        <v>27</v>
      </c>
      <c r="C6" s="18">
        <v>937780</v>
      </c>
      <c r="D6" s="18">
        <v>2022</v>
      </c>
      <c r="E6" s="18" t="s">
        <v>65</v>
      </c>
      <c r="F6" s="18" t="s">
        <v>103</v>
      </c>
      <c r="G6" s="18" t="s">
        <v>415</v>
      </c>
      <c r="H6" s="18" t="s">
        <v>416</v>
      </c>
      <c r="I6" s="30">
        <v>2.35</v>
      </c>
      <c r="J6" s="30">
        <v>4700</v>
      </c>
      <c r="K6" s="30"/>
      <c r="L6" s="31">
        <v>4700</v>
      </c>
      <c r="M6" s="47">
        <f t="shared" si="0"/>
        <v>0</v>
      </c>
    </row>
    <row r="7" spans="1:13" x14ac:dyDescent="0.3">
      <c r="A7" s="5" t="s">
        <v>48</v>
      </c>
      <c r="B7" s="6" t="s">
        <v>27</v>
      </c>
      <c r="C7" s="6">
        <v>937780</v>
      </c>
      <c r="D7" s="6">
        <v>2022</v>
      </c>
      <c r="E7" s="6" t="s">
        <v>65</v>
      </c>
      <c r="F7" s="18" t="s">
        <v>103</v>
      </c>
      <c r="G7" s="6" t="s">
        <v>417</v>
      </c>
      <c r="H7" s="6" t="s">
        <v>416</v>
      </c>
      <c r="I7" s="7">
        <v>0.52</v>
      </c>
      <c r="J7" s="7">
        <v>1040</v>
      </c>
      <c r="K7" s="7"/>
      <c r="L7" s="8">
        <v>1040</v>
      </c>
      <c r="M7" s="47">
        <f t="shared" si="0"/>
        <v>0</v>
      </c>
    </row>
    <row r="8" spans="1:13" x14ac:dyDescent="0.3">
      <c r="A8" s="17" t="s">
        <v>48</v>
      </c>
      <c r="B8" s="18" t="s">
        <v>27</v>
      </c>
      <c r="C8" s="18">
        <v>937780</v>
      </c>
      <c r="D8" s="18">
        <v>2022</v>
      </c>
      <c r="E8" s="18" t="s">
        <v>67</v>
      </c>
      <c r="F8" s="18" t="s">
        <v>103</v>
      </c>
      <c r="G8" s="18" t="s">
        <v>418</v>
      </c>
      <c r="H8" s="18" t="s">
        <v>114</v>
      </c>
      <c r="I8" s="30">
        <v>837.3</v>
      </c>
      <c r="J8" s="30">
        <v>4186.5</v>
      </c>
      <c r="K8" s="30"/>
      <c r="L8" s="31">
        <v>4186.5</v>
      </c>
      <c r="M8" s="47">
        <f t="shared" si="0"/>
        <v>0</v>
      </c>
    </row>
    <row r="9" spans="1:13" x14ac:dyDescent="0.3">
      <c r="A9" s="5" t="s">
        <v>48</v>
      </c>
      <c r="B9" s="6" t="s">
        <v>27</v>
      </c>
      <c r="C9" s="6">
        <v>937780</v>
      </c>
      <c r="D9" s="6">
        <v>2022</v>
      </c>
      <c r="E9" s="6" t="s">
        <v>67</v>
      </c>
      <c r="F9" s="18" t="s">
        <v>103</v>
      </c>
      <c r="G9" s="6" t="s">
        <v>419</v>
      </c>
      <c r="H9" s="6" t="s">
        <v>167</v>
      </c>
      <c r="I9" s="7">
        <v>276.66000000000003</v>
      </c>
      <c r="J9" s="7">
        <v>1659.96</v>
      </c>
      <c r="K9" s="7"/>
      <c r="L9" s="8">
        <v>1659.96</v>
      </c>
      <c r="M9" s="47">
        <f t="shared" si="0"/>
        <v>0</v>
      </c>
    </row>
    <row r="10" spans="1:13" x14ac:dyDescent="0.3">
      <c r="A10" s="17" t="s">
        <v>48</v>
      </c>
      <c r="B10" s="18" t="s">
        <v>27</v>
      </c>
      <c r="C10" s="18">
        <v>937780</v>
      </c>
      <c r="D10" s="18">
        <v>2022</v>
      </c>
      <c r="E10" s="18" t="s">
        <v>67</v>
      </c>
      <c r="F10" s="18" t="s">
        <v>103</v>
      </c>
      <c r="G10" s="18" t="s">
        <v>420</v>
      </c>
      <c r="H10" s="18" t="s">
        <v>373</v>
      </c>
      <c r="I10" s="30">
        <v>133.69999999999999</v>
      </c>
      <c r="J10" s="30">
        <v>9359</v>
      </c>
      <c r="K10" s="30"/>
      <c r="L10" s="31">
        <v>9359</v>
      </c>
      <c r="M10" s="47">
        <f t="shared" si="0"/>
        <v>0</v>
      </c>
    </row>
    <row r="11" spans="1:13" x14ac:dyDescent="0.3">
      <c r="A11" s="5" t="s">
        <v>48</v>
      </c>
      <c r="B11" s="6" t="s">
        <v>27</v>
      </c>
      <c r="C11" s="6">
        <v>937780</v>
      </c>
      <c r="D11" s="6">
        <v>2022</v>
      </c>
      <c r="E11" s="6" t="s">
        <v>65</v>
      </c>
      <c r="F11" s="18" t="s">
        <v>103</v>
      </c>
      <c r="G11" s="6" t="s">
        <v>421</v>
      </c>
      <c r="H11" s="6" t="s">
        <v>275</v>
      </c>
      <c r="I11" s="7">
        <v>189.38</v>
      </c>
      <c r="J11" s="7">
        <v>3408.8</v>
      </c>
      <c r="K11" s="7"/>
      <c r="L11" s="8">
        <v>3408.8</v>
      </c>
      <c r="M11" s="47">
        <f t="shared" si="0"/>
        <v>0</v>
      </c>
    </row>
    <row r="12" spans="1:13" x14ac:dyDescent="0.3">
      <c r="A12" s="17" t="s">
        <v>48</v>
      </c>
      <c r="B12" s="18" t="s">
        <v>27</v>
      </c>
      <c r="C12" s="18">
        <v>937780</v>
      </c>
      <c r="D12" s="18">
        <v>2022</v>
      </c>
      <c r="E12" s="18" t="s">
        <v>66</v>
      </c>
      <c r="F12" s="18" t="s">
        <v>103</v>
      </c>
      <c r="G12" s="18" t="s">
        <v>422</v>
      </c>
      <c r="H12" s="18" t="s">
        <v>212</v>
      </c>
      <c r="I12" s="30">
        <v>2017.25</v>
      </c>
      <c r="J12" s="30">
        <v>16138</v>
      </c>
      <c r="K12" s="30"/>
      <c r="L12" s="31">
        <v>16138</v>
      </c>
      <c r="M12" s="47">
        <f t="shared" si="0"/>
        <v>0</v>
      </c>
    </row>
    <row r="13" spans="1:13" x14ac:dyDescent="0.3">
      <c r="A13" s="5" t="s">
        <v>48</v>
      </c>
      <c r="B13" s="6" t="s">
        <v>27</v>
      </c>
      <c r="C13" s="6">
        <v>937780</v>
      </c>
      <c r="D13" s="6">
        <v>2022</v>
      </c>
      <c r="E13" s="6" t="s">
        <v>67</v>
      </c>
      <c r="F13" s="18" t="s">
        <v>103</v>
      </c>
      <c r="G13" s="6" t="s">
        <v>423</v>
      </c>
      <c r="H13" s="6" t="s">
        <v>160</v>
      </c>
      <c r="I13" s="7">
        <v>1893.6</v>
      </c>
      <c r="J13" s="7">
        <v>22723.200000000001</v>
      </c>
      <c r="K13" s="7">
        <v>22625</v>
      </c>
      <c r="L13" s="8">
        <v>98.2</v>
      </c>
      <c r="M13" s="47">
        <f t="shared" si="0"/>
        <v>98.200000000000728</v>
      </c>
    </row>
    <row r="14" spans="1:13" x14ac:dyDescent="0.3">
      <c r="A14" s="17" t="s">
        <v>48</v>
      </c>
      <c r="B14" s="18" t="s">
        <v>27</v>
      </c>
      <c r="C14" s="18">
        <v>937780</v>
      </c>
      <c r="D14" s="18">
        <v>2022</v>
      </c>
      <c r="E14" s="18" t="s">
        <v>65</v>
      </c>
      <c r="F14" s="18" t="s">
        <v>110</v>
      </c>
      <c r="G14" s="18" t="s">
        <v>424</v>
      </c>
      <c r="H14" s="18" t="s">
        <v>133</v>
      </c>
      <c r="I14" s="30">
        <v>3607.33</v>
      </c>
      <c r="J14" s="30">
        <v>7214.66</v>
      </c>
      <c r="K14" s="30"/>
      <c r="L14" s="31">
        <v>7214.66</v>
      </c>
      <c r="M14" s="47">
        <f t="shared" si="0"/>
        <v>0</v>
      </c>
    </row>
    <row r="15" spans="1:13" x14ac:dyDescent="0.3">
      <c r="A15" s="5" t="s">
        <v>48</v>
      </c>
      <c r="B15" s="6" t="s">
        <v>27</v>
      </c>
      <c r="C15" s="6">
        <v>937780</v>
      </c>
      <c r="D15" s="6">
        <v>2022</v>
      </c>
      <c r="E15" s="6" t="s">
        <v>65</v>
      </c>
      <c r="F15" s="18" t="s">
        <v>110</v>
      </c>
      <c r="G15" s="6" t="s">
        <v>425</v>
      </c>
      <c r="H15" s="6" t="s">
        <v>116</v>
      </c>
      <c r="I15" s="7">
        <v>977.22</v>
      </c>
      <c r="J15" s="7">
        <v>977.22</v>
      </c>
      <c r="K15" s="7"/>
      <c r="L15" s="8">
        <v>977.22</v>
      </c>
      <c r="M15" s="47">
        <f t="shared" si="0"/>
        <v>0</v>
      </c>
    </row>
    <row r="16" spans="1:13" x14ac:dyDescent="0.3">
      <c r="A16" s="17" t="s">
        <v>48</v>
      </c>
      <c r="B16" s="18" t="s">
        <v>27</v>
      </c>
      <c r="C16" s="18">
        <v>937780</v>
      </c>
      <c r="D16" s="18">
        <v>2022</v>
      </c>
      <c r="E16" s="18" t="s">
        <v>65</v>
      </c>
      <c r="F16" s="18" t="s">
        <v>110</v>
      </c>
      <c r="G16" s="18" t="s">
        <v>426</v>
      </c>
      <c r="H16" s="18" t="s">
        <v>167</v>
      </c>
      <c r="I16" s="30">
        <v>895.51</v>
      </c>
      <c r="J16" s="30">
        <v>5373.06</v>
      </c>
      <c r="K16" s="30"/>
      <c r="L16" s="31">
        <v>5373.06</v>
      </c>
      <c r="M16" s="47">
        <f t="shared" si="0"/>
        <v>0</v>
      </c>
    </row>
    <row r="17" spans="1:13" x14ac:dyDescent="0.3">
      <c r="A17" s="5" t="s">
        <v>48</v>
      </c>
      <c r="B17" s="6" t="s">
        <v>27</v>
      </c>
      <c r="C17" s="6">
        <v>937780</v>
      </c>
      <c r="D17" s="6">
        <v>2022</v>
      </c>
      <c r="E17" s="6" t="s">
        <v>65</v>
      </c>
      <c r="F17" s="18" t="s">
        <v>110</v>
      </c>
      <c r="G17" s="6" t="s">
        <v>427</v>
      </c>
      <c r="H17" s="6" t="s">
        <v>137</v>
      </c>
      <c r="I17" s="7">
        <v>1358.33</v>
      </c>
      <c r="J17" s="7">
        <v>4074.99</v>
      </c>
      <c r="K17" s="7"/>
      <c r="L17" s="8">
        <v>4074.99</v>
      </c>
      <c r="M17" s="47">
        <f t="shared" si="0"/>
        <v>0</v>
      </c>
    </row>
    <row r="18" spans="1:13" x14ac:dyDescent="0.3">
      <c r="A18" s="17" t="s">
        <v>48</v>
      </c>
      <c r="B18" s="18" t="s">
        <v>27</v>
      </c>
      <c r="C18" s="18">
        <v>937780</v>
      </c>
      <c r="D18" s="18">
        <v>2022</v>
      </c>
      <c r="E18" s="18" t="s">
        <v>65</v>
      </c>
      <c r="F18" s="18" t="s">
        <v>110</v>
      </c>
      <c r="G18" s="18" t="s">
        <v>428</v>
      </c>
      <c r="H18" s="18" t="s">
        <v>114</v>
      </c>
      <c r="I18" s="30">
        <v>1048.72</v>
      </c>
      <c r="J18" s="30">
        <v>5243.6</v>
      </c>
      <c r="K18" s="30"/>
      <c r="L18" s="31">
        <v>5243.6</v>
      </c>
      <c r="M18" s="47">
        <f t="shared" si="0"/>
        <v>0</v>
      </c>
    </row>
    <row r="19" spans="1:13" x14ac:dyDescent="0.3">
      <c r="A19" s="5" t="s">
        <v>48</v>
      </c>
      <c r="B19" s="6" t="s">
        <v>27</v>
      </c>
      <c r="C19" s="6">
        <v>937780</v>
      </c>
      <c r="D19" s="6">
        <v>2022</v>
      </c>
      <c r="E19" s="6" t="s">
        <v>65</v>
      </c>
      <c r="F19" s="18" t="s">
        <v>110</v>
      </c>
      <c r="G19" s="6" t="s">
        <v>429</v>
      </c>
      <c r="H19" s="6" t="s">
        <v>137</v>
      </c>
      <c r="I19" s="7">
        <v>255.23</v>
      </c>
      <c r="J19" s="7">
        <v>765.69</v>
      </c>
      <c r="K19" s="7"/>
      <c r="L19" s="8">
        <v>765.69</v>
      </c>
      <c r="M19" s="47">
        <f t="shared" si="0"/>
        <v>0</v>
      </c>
    </row>
    <row r="20" spans="1:13" x14ac:dyDescent="0.3">
      <c r="A20" s="17" t="s">
        <v>48</v>
      </c>
      <c r="B20" s="18" t="s">
        <v>27</v>
      </c>
      <c r="C20" s="18">
        <v>937780</v>
      </c>
      <c r="D20" s="18">
        <v>2022</v>
      </c>
      <c r="E20" s="18" t="s">
        <v>65</v>
      </c>
      <c r="F20" s="18" t="s">
        <v>110</v>
      </c>
      <c r="G20" s="18" t="s">
        <v>430</v>
      </c>
      <c r="H20" s="18" t="s">
        <v>137</v>
      </c>
      <c r="I20" s="30">
        <v>1760.37</v>
      </c>
      <c r="J20" s="30">
        <v>5281.11</v>
      </c>
      <c r="K20" s="30"/>
      <c r="L20" s="31">
        <v>5281.11</v>
      </c>
      <c r="M20" s="47">
        <f t="shared" si="0"/>
        <v>0</v>
      </c>
    </row>
    <row r="21" spans="1:13" x14ac:dyDescent="0.3">
      <c r="A21" s="5" t="s">
        <v>48</v>
      </c>
      <c r="B21" s="6" t="s">
        <v>27</v>
      </c>
      <c r="C21" s="6">
        <v>937780</v>
      </c>
      <c r="D21" s="6">
        <v>2022</v>
      </c>
      <c r="E21" s="6" t="s">
        <v>65</v>
      </c>
      <c r="F21" s="18" t="s">
        <v>110</v>
      </c>
      <c r="G21" s="6" t="s">
        <v>431</v>
      </c>
      <c r="H21" s="6" t="s">
        <v>116</v>
      </c>
      <c r="I21" s="7">
        <v>1603.77</v>
      </c>
      <c r="J21" s="7">
        <v>1603.77</v>
      </c>
      <c r="K21" s="7"/>
      <c r="L21" s="8">
        <v>1603.77</v>
      </c>
      <c r="M21" s="47">
        <f t="shared" si="0"/>
        <v>0</v>
      </c>
    </row>
    <row r="22" spans="1:13" x14ac:dyDescent="0.3">
      <c r="A22" s="17" t="s">
        <v>48</v>
      </c>
      <c r="B22" s="18" t="s">
        <v>27</v>
      </c>
      <c r="C22" s="18">
        <v>937780</v>
      </c>
      <c r="D22" s="18">
        <v>2022</v>
      </c>
      <c r="E22" s="18" t="s">
        <v>65</v>
      </c>
      <c r="F22" s="18" t="s">
        <v>110</v>
      </c>
      <c r="G22" s="18" t="s">
        <v>432</v>
      </c>
      <c r="H22" s="18" t="s">
        <v>116</v>
      </c>
      <c r="I22" s="30">
        <v>1225.53</v>
      </c>
      <c r="J22" s="30">
        <v>1225.53</v>
      </c>
      <c r="K22" s="30"/>
      <c r="L22" s="31">
        <v>1225.53</v>
      </c>
      <c r="M22" s="47">
        <f t="shared" si="0"/>
        <v>0</v>
      </c>
    </row>
    <row r="23" spans="1:13" x14ac:dyDescent="0.3">
      <c r="A23" s="5" t="s">
        <v>48</v>
      </c>
      <c r="B23" s="6" t="s">
        <v>27</v>
      </c>
      <c r="C23" s="6">
        <v>937780</v>
      </c>
      <c r="D23" s="6">
        <v>2022</v>
      </c>
      <c r="E23" s="6" t="s">
        <v>134</v>
      </c>
      <c r="F23" s="18" t="s">
        <v>110</v>
      </c>
      <c r="G23" s="6" t="s">
        <v>433</v>
      </c>
      <c r="H23" s="6" t="s">
        <v>116</v>
      </c>
      <c r="I23" s="7">
        <v>5.03</v>
      </c>
      <c r="J23" s="7">
        <v>5.03</v>
      </c>
      <c r="K23" s="7">
        <v>0</v>
      </c>
      <c r="L23" s="8">
        <v>5.03</v>
      </c>
      <c r="M23" s="47">
        <f t="shared" si="0"/>
        <v>5.03</v>
      </c>
    </row>
    <row r="24" spans="1:13" x14ac:dyDescent="0.3">
      <c r="A24" s="17" t="s">
        <v>48</v>
      </c>
      <c r="B24" s="18" t="s">
        <v>27</v>
      </c>
      <c r="C24" s="18">
        <v>937780</v>
      </c>
      <c r="D24" s="18">
        <v>2022</v>
      </c>
      <c r="E24" s="18" t="s">
        <v>67</v>
      </c>
      <c r="F24" s="18" t="s">
        <v>110</v>
      </c>
      <c r="G24" s="18" t="s">
        <v>434</v>
      </c>
      <c r="H24" s="18">
        <v>1</v>
      </c>
      <c r="I24" s="30">
        <v>153000</v>
      </c>
      <c r="J24" s="30">
        <v>153000</v>
      </c>
      <c r="K24" s="30"/>
      <c r="L24" s="31">
        <v>153000</v>
      </c>
      <c r="M24" s="47">
        <f t="shared" si="0"/>
        <v>0</v>
      </c>
    </row>
    <row r="25" spans="1:13" x14ac:dyDescent="0.3">
      <c r="A25" s="5" t="s">
        <v>48</v>
      </c>
      <c r="B25" s="6" t="s">
        <v>27</v>
      </c>
      <c r="C25" s="6">
        <v>937780</v>
      </c>
      <c r="D25" s="6">
        <v>2022</v>
      </c>
      <c r="E25" s="6" t="s">
        <v>66</v>
      </c>
      <c r="F25" s="18" t="s">
        <v>110</v>
      </c>
      <c r="G25" s="6" t="s">
        <v>434</v>
      </c>
      <c r="H25" s="6">
        <v>1</v>
      </c>
      <c r="I25" s="7">
        <v>153000</v>
      </c>
      <c r="J25" s="7">
        <v>153000</v>
      </c>
      <c r="K25" s="7"/>
      <c r="L25" s="8">
        <v>153000</v>
      </c>
      <c r="M25" s="47">
        <f t="shared" si="0"/>
        <v>0</v>
      </c>
    </row>
    <row r="26" spans="1:13" x14ac:dyDescent="0.3">
      <c r="A26" s="17"/>
      <c r="B26" s="18"/>
      <c r="C26" s="18"/>
      <c r="D26" s="18"/>
      <c r="E26" s="18"/>
      <c r="F26" s="18"/>
      <c r="G26" s="18"/>
      <c r="H26" s="18"/>
      <c r="I26" s="30"/>
      <c r="J26" s="30"/>
      <c r="K26" s="30"/>
      <c r="L26" s="31"/>
    </row>
    <row r="27" spans="1:13" x14ac:dyDescent="0.3">
      <c r="A27" s="5"/>
      <c r="B27" s="6"/>
      <c r="C27" s="6"/>
      <c r="D27" s="6"/>
      <c r="E27" s="6"/>
      <c r="F27" s="6"/>
      <c r="G27" s="6"/>
      <c r="H27" s="6"/>
      <c r="I27" s="7"/>
      <c r="J27" s="7"/>
      <c r="K27" s="7"/>
      <c r="L27" s="8"/>
    </row>
    <row r="28" spans="1:13" x14ac:dyDescent="0.3">
      <c r="A28" s="17"/>
      <c r="B28" s="18"/>
      <c r="C28" s="18"/>
      <c r="D28" s="18"/>
      <c r="E28" s="18"/>
      <c r="F28" s="18"/>
      <c r="G28" s="18"/>
      <c r="H28" s="18"/>
      <c r="I28" s="30"/>
      <c r="J28" s="30"/>
      <c r="K28" s="30"/>
      <c r="L28" s="31"/>
    </row>
    <row r="29" spans="1:13" x14ac:dyDescent="0.3">
      <c r="A29" s="5"/>
      <c r="B29" s="6"/>
      <c r="C29" s="6"/>
      <c r="D29" s="6"/>
      <c r="E29" s="6"/>
      <c r="F29" s="6"/>
      <c r="G29" s="6"/>
      <c r="H29" s="6"/>
      <c r="I29" s="7"/>
      <c r="J29" s="7"/>
      <c r="K29" s="7"/>
      <c r="L29" s="8"/>
    </row>
  </sheetData>
  <autoFilter ref="A1:M25" xr:uid="{3EBB8F27-616C-4167-A382-41D7772815D3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14B8-FBD9-4E5E-950E-D1EDCEABFABC}">
  <dimension ref="A1:M40"/>
  <sheetViews>
    <sheetView zoomScale="70" zoomScaleNormal="70" workbookViewId="0">
      <selection sqref="A1:M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9" t="s">
        <v>0</v>
      </c>
      <c r="B1" s="10" t="s">
        <v>1</v>
      </c>
      <c r="C1" s="10" t="s">
        <v>2</v>
      </c>
      <c r="D1" s="10" t="s">
        <v>3</v>
      </c>
      <c r="E1" s="27" t="s">
        <v>94</v>
      </c>
      <c r="F1" s="27" t="s">
        <v>95</v>
      </c>
      <c r="G1" s="27" t="s">
        <v>96</v>
      </c>
      <c r="H1" s="27" t="s">
        <v>97</v>
      </c>
      <c r="I1" s="28" t="s">
        <v>98</v>
      </c>
      <c r="J1" s="28" t="s">
        <v>99</v>
      </c>
      <c r="K1" s="28" t="s">
        <v>100</v>
      </c>
      <c r="L1" s="29" t="s">
        <v>101</v>
      </c>
      <c r="M1" s="46" t="s">
        <v>102</v>
      </c>
    </row>
    <row r="2" spans="1:13" x14ac:dyDescent="0.3">
      <c r="A2" s="17" t="s">
        <v>50</v>
      </c>
      <c r="B2" s="18" t="s">
        <v>27</v>
      </c>
      <c r="C2" s="18">
        <v>937917</v>
      </c>
      <c r="D2" s="18">
        <v>2022</v>
      </c>
      <c r="E2" s="18" t="s">
        <v>66</v>
      </c>
      <c r="F2" s="18" t="s">
        <v>103</v>
      </c>
      <c r="G2" s="18" t="s">
        <v>435</v>
      </c>
      <c r="H2" s="18" t="s">
        <v>310</v>
      </c>
      <c r="I2" s="30">
        <v>99.9</v>
      </c>
      <c r="J2" s="30">
        <v>2497.42</v>
      </c>
      <c r="K2" s="30"/>
      <c r="L2" s="31">
        <v>2497.42</v>
      </c>
      <c r="M2" s="47">
        <f>IF(E2="N/A", J2, IF(OR(K2=0, ISBLANK(K2), K2=""), 0, J2-K2))</f>
        <v>0</v>
      </c>
    </row>
    <row r="3" spans="1:13" x14ac:dyDescent="0.3">
      <c r="A3" s="5" t="s">
        <v>50</v>
      </c>
      <c r="B3" s="6" t="s">
        <v>27</v>
      </c>
      <c r="C3" s="6">
        <v>937917</v>
      </c>
      <c r="D3" s="6">
        <v>2022</v>
      </c>
      <c r="E3" s="6" t="s">
        <v>65</v>
      </c>
      <c r="F3" s="18" t="s">
        <v>103</v>
      </c>
      <c r="G3" s="6" t="s">
        <v>436</v>
      </c>
      <c r="H3" s="6" t="s">
        <v>328</v>
      </c>
      <c r="I3" s="7">
        <v>43</v>
      </c>
      <c r="J3" s="7">
        <v>17200</v>
      </c>
      <c r="K3" s="7">
        <v>4000</v>
      </c>
      <c r="L3" s="8">
        <v>13200</v>
      </c>
      <c r="M3" s="47">
        <f t="shared" ref="M3:M38" si="0">IF(E3="N/A", J3, IF(OR(K3=0, ISBLANK(K3), K3=""), 0, J3-K3))</f>
        <v>13200</v>
      </c>
    </row>
    <row r="4" spans="1:13" x14ac:dyDescent="0.3">
      <c r="A4" s="17" t="s">
        <v>50</v>
      </c>
      <c r="B4" s="18" t="s">
        <v>27</v>
      </c>
      <c r="C4" s="18">
        <v>937917</v>
      </c>
      <c r="D4" s="18">
        <v>2022</v>
      </c>
      <c r="E4" s="18" t="s">
        <v>65</v>
      </c>
      <c r="F4" s="18" t="s">
        <v>103</v>
      </c>
      <c r="G4" s="18" t="s">
        <v>437</v>
      </c>
      <c r="H4" s="18" t="s">
        <v>438</v>
      </c>
      <c r="I4" s="30">
        <v>21.17</v>
      </c>
      <c r="J4" s="30">
        <v>5820.83</v>
      </c>
      <c r="K4" s="30">
        <v>4950</v>
      </c>
      <c r="L4" s="31">
        <v>870.83</v>
      </c>
      <c r="M4" s="47">
        <f t="shared" si="0"/>
        <v>870.82999999999993</v>
      </c>
    </row>
    <row r="5" spans="1:13" x14ac:dyDescent="0.3">
      <c r="A5" s="5" t="s">
        <v>50</v>
      </c>
      <c r="B5" s="6" t="s">
        <v>27</v>
      </c>
      <c r="C5" s="6">
        <v>937917</v>
      </c>
      <c r="D5" s="6">
        <v>2022</v>
      </c>
      <c r="E5" s="6" t="s">
        <v>65</v>
      </c>
      <c r="F5" s="18" t="s">
        <v>103</v>
      </c>
      <c r="G5" s="6" t="s">
        <v>439</v>
      </c>
      <c r="H5" s="6" t="s">
        <v>263</v>
      </c>
      <c r="I5" s="7">
        <v>54.33</v>
      </c>
      <c r="J5" s="7">
        <v>5433.33</v>
      </c>
      <c r="K5" s="7">
        <v>4500</v>
      </c>
      <c r="L5" s="8">
        <v>933.33</v>
      </c>
      <c r="M5" s="47">
        <f t="shared" si="0"/>
        <v>933.32999999999993</v>
      </c>
    </row>
    <row r="6" spans="1:13" x14ac:dyDescent="0.3">
      <c r="A6" s="17" t="s">
        <v>50</v>
      </c>
      <c r="B6" s="18" t="s">
        <v>27</v>
      </c>
      <c r="C6" s="18">
        <v>937917</v>
      </c>
      <c r="D6" s="18">
        <v>2022</v>
      </c>
      <c r="E6" s="18" t="s">
        <v>66</v>
      </c>
      <c r="F6" s="18" t="s">
        <v>110</v>
      </c>
      <c r="G6" s="18" t="s">
        <v>440</v>
      </c>
      <c r="H6" s="18" t="s">
        <v>167</v>
      </c>
      <c r="I6" s="30">
        <v>668.73</v>
      </c>
      <c r="J6" s="30">
        <v>4012.38</v>
      </c>
      <c r="K6" s="30"/>
      <c r="L6" s="31">
        <v>4012.38</v>
      </c>
      <c r="M6" s="47">
        <f t="shared" si="0"/>
        <v>0</v>
      </c>
    </row>
    <row r="7" spans="1:13" x14ac:dyDescent="0.3">
      <c r="A7" s="5" t="s">
        <v>50</v>
      </c>
      <c r="B7" s="6" t="s">
        <v>27</v>
      </c>
      <c r="C7" s="6">
        <v>937917</v>
      </c>
      <c r="D7" s="6">
        <v>2022</v>
      </c>
      <c r="E7" s="6" t="s">
        <v>67</v>
      </c>
      <c r="F7" s="18" t="s">
        <v>110</v>
      </c>
      <c r="G7" s="6" t="s">
        <v>441</v>
      </c>
      <c r="H7" s="6" t="s">
        <v>133</v>
      </c>
      <c r="I7" s="7">
        <v>3435.74</v>
      </c>
      <c r="J7" s="7">
        <v>6871.47</v>
      </c>
      <c r="K7" s="7"/>
      <c r="L7" s="8">
        <v>6871.47</v>
      </c>
      <c r="M7" s="47">
        <f t="shared" si="0"/>
        <v>0</v>
      </c>
    </row>
    <row r="8" spans="1:13" x14ac:dyDescent="0.3">
      <c r="A8" s="17" t="s">
        <v>50</v>
      </c>
      <c r="B8" s="18" t="s">
        <v>27</v>
      </c>
      <c r="C8" s="18">
        <v>937917</v>
      </c>
      <c r="D8" s="18">
        <v>2022</v>
      </c>
      <c r="E8" s="18" t="s">
        <v>67</v>
      </c>
      <c r="F8" s="18" t="s">
        <v>110</v>
      </c>
      <c r="G8" s="18" t="s">
        <v>442</v>
      </c>
      <c r="H8" s="18" t="s">
        <v>116</v>
      </c>
      <c r="I8" s="30">
        <v>8322.5400000000009</v>
      </c>
      <c r="J8" s="30">
        <v>8322.5400000000009</v>
      </c>
      <c r="K8" s="30"/>
      <c r="L8" s="31">
        <v>8322.5400000000009</v>
      </c>
      <c r="M8" s="47">
        <f t="shared" si="0"/>
        <v>0</v>
      </c>
    </row>
    <row r="9" spans="1:13" x14ac:dyDescent="0.3">
      <c r="A9" s="5" t="s">
        <v>50</v>
      </c>
      <c r="B9" s="6" t="s">
        <v>27</v>
      </c>
      <c r="C9" s="6">
        <v>937917</v>
      </c>
      <c r="D9" s="6">
        <v>2022</v>
      </c>
      <c r="E9" s="6" t="s">
        <v>67</v>
      </c>
      <c r="F9" s="18" t="s">
        <v>110</v>
      </c>
      <c r="G9" s="6" t="s">
        <v>443</v>
      </c>
      <c r="H9" s="6" t="s">
        <v>133</v>
      </c>
      <c r="I9" s="7">
        <v>2246.25</v>
      </c>
      <c r="J9" s="7">
        <v>4492.5</v>
      </c>
      <c r="K9" s="7"/>
      <c r="L9" s="8">
        <v>4492.5</v>
      </c>
      <c r="M9" s="47">
        <f t="shared" si="0"/>
        <v>0</v>
      </c>
    </row>
    <row r="10" spans="1:13" x14ac:dyDescent="0.3">
      <c r="A10" s="17" t="s">
        <v>50</v>
      </c>
      <c r="B10" s="18" t="s">
        <v>27</v>
      </c>
      <c r="C10" s="18">
        <v>937917</v>
      </c>
      <c r="D10" s="18">
        <v>2022</v>
      </c>
      <c r="E10" s="18" t="s">
        <v>67</v>
      </c>
      <c r="F10" s="18" t="s">
        <v>110</v>
      </c>
      <c r="G10" s="18" t="s">
        <v>444</v>
      </c>
      <c r="H10" s="18" t="s">
        <v>133</v>
      </c>
      <c r="I10" s="30">
        <v>1211.8399999999999</v>
      </c>
      <c r="J10" s="30">
        <v>2423.6799999999998</v>
      </c>
      <c r="K10" s="30"/>
      <c r="L10" s="31">
        <v>2423.6799999999998</v>
      </c>
      <c r="M10" s="47">
        <f t="shared" si="0"/>
        <v>0</v>
      </c>
    </row>
    <row r="11" spans="1:13" x14ac:dyDescent="0.3">
      <c r="A11" s="5" t="s">
        <v>50</v>
      </c>
      <c r="B11" s="6" t="s">
        <v>27</v>
      </c>
      <c r="C11" s="6">
        <v>937917</v>
      </c>
      <c r="D11" s="6">
        <v>2022</v>
      </c>
      <c r="E11" s="6" t="s">
        <v>67</v>
      </c>
      <c r="F11" s="18" t="s">
        <v>110</v>
      </c>
      <c r="G11" s="6" t="s">
        <v>445</v>
      </c>
      <c r="H11" s="6" t="s">
        <v>133</v>
      </c>
      <c r="I11" s="7">
        <v>3566.85</v>
      </c>
      <c r="J11" s="7">
        <v>7133.69</v>
      </c>
      <c r="K11" s="7"/>
      <c r="L11" s="8">
        <v>7133.69</v>
      </c>
      <c r="M11" s="47">
        <f t="shared" si="0"/>
        <v>0</v>
      </c>
    </row>
    <row r="12" spans="1:13" x14ac:dyDescent="0.3">
      <c r="A12" s="17" t="s">
        <v>50</v>
      </c>
      <c r="B12" s="18" t="s">
        <v>27</v>
      </c>
      <c r="C12" s="18">
        <v>937917</v>
      </c>
      <c r="D12" s="18">
        <v>2022</v>
      </c>
      <c r="E12" s="18" t="s">
        <v>67</v>
      </c>
      <c r="F12" s="18" t="s">
        <v>110</v>
      </c>
      <c r="G12" s="18" t="s">
        <v>446</v>
      </c>
      <c r="H12" s="18" t="s">
        <v>133</v>
      </c>
      <c r="I12" s="30">
        <v>4646.18</v>
      </c>
      <c r="J12" s="30">
        <v>9292.36</v>
      </c>
      <c r="K12" s="30"/>
      <c r="L12" s="31">
        <v>9292.36</v>
      </c>
      <c r="M12" s="47">
        <f t="shared" si="0"/>
        <v>0</v>
      </c>
    </row>
    <row r="13" spans="1:13" x14ac:dyDescent="0.3">
      <c r="A13" s="5" t="s">
        <v>50</v>
      </c>
      <c r="B13" s="6" t="s">
        <v>27</v>
      </c>
      <c r="C13" s="6">
        <v>937917</v>
      </c>
      <c r="D13" s="6">
        <v>2022</v>
      </c>
      <c r="E13" s="6" t="s">
        <v>67</v>
      </c>
      <c r="F13" s="18" t="s">
        <v>110</v>
      </c>
      <c r="G13" s="6" t="s">
        <v>447</v>
      </c>
      <c r="H13" s="6" t="s">
        <v>116</v>
      </c>
      <c r="I13" s="7">
        <v>3634.44</v>
      </c>
      <c r="J13" s="7">
        <v>3634.44</v>
      </c>
      <c r="K13" s="7"/>
      <c r="L13" s="8">
        <v>3634.44</v>
      </c>
      <c r="M13" s="47">
        <f t="shared" si="0"/>
        <v>0</v>
      </c>
    </row>
    <row r="14" spans="1:13" x14ac:dyDescent="0.3">
      <c r="A14" s="17" t="s">
        <v>50</v>
      </c>
      <c r="B14" s="18" t="s">
        <v>27</v>
      </c>
      <c r="C14" s="18">
        <v>937917</v>
      </c>
      <c r="D14" s="18">
        <v>2022</v>
      </c>
      <c r="E14" s="18" t="s">
        <v>67</v>
      </c>
      <c r="F14" s="18" t="s">
        <v>110</v>
      </c>
      <c r="G14" s="18" t="s">
        <v>448</v>
      </c>
      <c r="H14" s="18" t="s">
        <v>116</v>
      </c>
      <c r="I14" s="30">
        <v>1295.52</v>
      </c>
      <c r="J14" s="30">
        <v>1295.52</v>
      </c>
      <c r="K14" s="30"/>
      <c r="L14" s="31">
        <v>1295.52</v>
      </c>
      <c r="M14" s="47">
        <f t="shared" si="0"/>
        <v>0</v>
      </c>
    </row>
    <row r="15" spans="1:13" x14ac:dyDescent="0.3">
      <c r="A15" s="5" t="s">
        <v>50</v>
      </c>
      <c r="B15" s="6" t="s">
        <v>27</v>
      </c>
      <c r="C15" s="6">
        <v>937917</v>
      </c>
      <c r="D15" s="6">
        <v>2022</v>
      </c>
      <c r="E15" s="18" t="s">
        <v>66</v>
      </c>
      <c r="F15" s="18" t="s">
        <v>110</v>
      </c>
      <c r="G15" s="6" t="s">
        <v>449</v>
      </c>
      <c r="H15" s="6" t="s">
        <v>212</v>
      </c>
      <c r="I15" s="7">
        <v>1053.33</v>
      </c>
      <c r="J15" s="7">
        <v>8426.64</v>
      </c>
      <c r="K15" s="7"/>
      <c r="L15" s="8">
        <v>8426.64</v>
      </c>
      <c r="M15" s="47">
        <f t="shared" si="0"/>
        <v>0</v>
      </c>
    </row>
    <row r="16" spans="1:13" x14ac:dyDescent="0.3">
      <c r="A16" s="17" t="s">
        <v>50</v>
      </c>
      <c r="B16" s="18" t="s">
        <v>27</v>
      </c>
      <c r="C16" s="18">
        <v>937917</v>
      </c>
      <c r="D16" s="18">
        <v>2022</v>
      </c>
      <c r="E16" s="18" t="s">
        <v>67</v>
      </c>
      <c r="F16" s="18" t="s">
        <v>110</v>
      </c>
      <c r="G16" s="18" t="s">
        <v>450</v>
      </c>
      <c r="H16" s="18" t="s">
        <v>133</v>
      </c>
      <c r="I16" s="30">
        <v>6546.04</v>
      </c>
      <c r="J16" s="30">
        <v>13092.07</v>
      </c>
      <c r="K16" s="30"/>
      <c r="L16" s="31">
        <v>13092.07</v>
      </c>
      <c r="M16" s="47">
        <f t="shared" si="0"/>
        <v>0</v>
      </c>
    </row>
    <row r="17" spans="1:13" x14ac:dyDescent="0.3">
      <c r="A17" s="5" t="s">
        <v>50</v>
      </c>
      <c r="B17" s="6" t="s">
        <v>27</v>
      </c>
      <c r="C17" s="6">
        <v>937917</v>
      </c>
      <c r="D17" s="6">
        <v>2022</v>
      </c>
      <c r="E17" s="6" t="s">
        <v>67</v>
      </c>
      <c r="F17" s="18" t="s">
        <v>110</v>
      </c>
      <c r="G17" s="6" t="s">
        <v>451</v>
      </c>
      <c r="H17" s="6" t="s">
        <v>112</v>
      </c>
      <c r="I17" s="7">
        <v>858.03</v>
      </c>
      <c r="J17" s="7">
        <v>3432.11</v>
      </c>
      <c r="K17" s="7"/>
      <c r="L17" s="8">
        <v>3432.11</v>
      </c>
      <c r="M17" s="47">
        <f t="shared" si="0"/>
        <v>0</v>
      </c>
    </row>
    <row r="18" spans="1:13" x14ac:dyDescent="0.3">
      <c r="A18" s="17" t="s">
        <v>50</v>
      </c>
      <c r="B18" s="18" t="s">
        <v>27</v>
      </c>
      <c r="C18" s="18">
        <v>937917</v>
      </c>
      <c r="D18" s="18">
        <v>2022</v>
      </c>
      <c r="E18" s="18" t="s">
        <v>66</v>
      </c>
      <c r="F18" s="18" t="s">
        <v>110</v>
      </c>
      <c r="G18" s="18" t="s">
        <v>452</v>
      </c>
      <c r="H18" s="18" t="s">
        <v>310</v>
      </c>
      <c r="I18" s="30">
        <v>79.099999999999994</v>
      </c>
      <c r="J18" s="30">
        <v>1977.42</v>
      </c>
      <c r="K18" s="30"/>
      <c r="L18" s="31">
        <v>1977.42</v>
      </c>
      <c r="M18" s="47">
        <f t="shared" si="0"/>
        <v>0</v>
      </c>
    </row>
    <row r="19" spans="1:13" x14ac:dyDescent="0.3">
      <c r="A19" s="5" t="s">
        <v>50</v>
      </c>
      <c r="B19" s="6" t="s">
        <v>27</v>
      </c>
      <c r="C19" s="6">
        <v>937917</v>
      </c>
      <c r="D19" s="6">
        <v>2022</v>
      </c>
      <c r="E19" s="18" t="s">
        <v>66</v>
      </c>
      <c r="F19" s="18" t="s">
        <v>110</v>
      </c>
      <c r="G19" s="6" t="s">
        <v>453</v>
      </c>
      <c r="H19" s="6" t="s">
        <v>116</v>
      </c>
      <c r="I19" s="7">
        <v>4296.92</v>
      </c>
      <c r="J19" s="7">
        <v>4296.92</v>
      </c>
      <c r="K19" s="7"/>
      <c r="L19" s="8">
        <v>4296.92</v>
      </c>
      <c r="M19" s="47">
        <f t="shared" si="0"/>
        <v>0</v>
      </c>
    </row>
    <row r="20" spans="1:13" x14ac:dyDescent="0.3">
      <c r="A20" s="17" t="s">
        <v>50</v>
      </c>
      <c r="B20" s="18" t="s">
        <v>27</v>
      </c>
      <c r="C20" s="18">
        <v>937917</v>
      </c>
      <c r="D20" s="18">
        <v>2022</v>
      </c>
      <c r="E20" s="18" t="s">
        <v>66</v>
      </c>
      <c r="F20" s="18" t="s">
        <v>110</v>
      </c>
      <c r="G20" s="18" t="s">
        <v>454</v>
      </c>
      <c r="H20" s="18" t="s">
        <v>114</v>
      </c>
      <c r="I20" s="30">
        <v>1823</v>
      </c>
      <c r="J20" s="30">
        <v>9114.98</v>
      </c>
      <c r="K20" s="30"/>
      <c r="L20" s="31">
        <v>9114.98</v>
      </c>
      <c r="M20" s="47">
        <f t="shared" si="0"/>
        <v>0</v>
      </c>
    </row>
    <row r="21" spans="1:13" x14ac:dyDescent="0.3">
      <c r="A21" s="5" t="s">
        <v>50</v>
      </c>
      <c r="B21" s="6" t="s">
        <v>27</v>
      </c>
      <c r="C21" s="6">
        <v>937917</v>
      </c>
      <c r="D21" s="6">
        <v>2022</v>
      </c>
      <c r="E21" s="18" t="s">
        <v>66</v>
      </c>
      <c r="F21" s="18" t="s">
        <v>110</v>
      </c>
      <c r="G21" s="6" t="s">
        <v>455</v>
      </c>
      <c r="H21" s="6" t="s">
        <v>137</v>
      </c>
      <c r="I21" s="7">
        <v>884.9</v>
      </c>
      <c r="J21" s="7">
        <v>2654.71</v>
      </c>
      <c r="K21" s="7"/>
      <c r="L21" s="8">
        <v>2654.71</v>
      </c>
      <c r="M21" s="47">
        <f t="shared" si="0"/>
        <v>0</v>
      </c>
    </row>
    <row r="22" spans="1:13" x14ac:dyDescent="0.3">
      <c r="A22" s="17" t="s">
        <v>50</v>
      </c>
      <c r="B22" s="18" t="s">
        <v>27</v>
      </c>
      <c r="C22" s="18">
        <v>937917</v>
      </c>
      <c r="D22" s="18">
        <v>2022</v>
      </c>
      <c r="E22" s="18" t="s">
        <v>66</v>
      </c>
      <c r="F22" s="18" t="s">
        <v>110</v>
      </c>
      <c r="G22" s="18" t="s">
        <v>456</v>
      </c>
      <c r="H22" s="18" t="s">
        <v>214</v>
      </c>
      <c r="I22" s="30">
        <v>561.24</v>
      </c>
      <c r="J22" s="30">
        <v>6173.64</v>
      </c>
      <c r="K22" s="30"/>
      <c r="L22" s="31">
        <v>6173.64</v>
      </c>
      <c r="M22" s="47">
        <f t="shared" si="0"/>
        <v>0</v>
      </c>
    </row>
    <row r="23" spans="1:13" x14ac:dyDescent="0.3">
      <c r="A23" s="5" t="s">
        <v>50</v>
      </c>
      <c r="B23" s="6" t="s">
        <v>27</v>
      </c>
      <c r="C23" s="6">
        <v>937917</v>
      </c>
      <c r="D23" s="6">
        <v>2022</v>
      </c>
      <c r="E23" s="18" t="s">
        <v>66</v>
      </c>
      <c r="F23" s="18" t="s">
        <v>110</v>
      </c>
      <c r="G23" s="6" t="s">
        <v>457</v>
      </c>
      <c r="H23" s="6" t="s">
        <v>137</v>
      </c>
      <c r="I23" s="7">
        <v>2594.94</v>
      </c>
      <c r="J23" s="7">
        <v>7784.82</v>
      </c>
      <c r="K23" s="7"/>
      <c r="L23" s="8">
        <v>7784.82</v>
      </c>
      <c r="M23" s="47">
        <f t="shared" si="0"/>
        <v>0</v>
      </c>
    </row>
    <row r="24" spans="1:13" x14ac:dyDescent="0.3">
      <c r="A24" s="17" t="s">
        <v>50</v>
      </c>
      <c r="B24" s="18" t="s">
        <v>27</v>
      </c>
      <c r="C24" s="18">
        <v>937917</v>
      </c>
      <c r="D24" s="18">
        <v>2022</v>
      </c>
      <c r="E24" s="18" t="s">
        <v>67</v>
      </c>
      <c r="F24" s="18" t="s">
        <v>110</v>
      </c>
      <c r="G24" s="18" t="s">
        <v>458</v>
      </c>
      <c r="H24" s="18" t="s">
        <v>137</v>
      </c>
      <c r="I24" s="30">
        <v>2149</v>
      </c>
      <c r="J24" s="30">
        <v>6447</v>
      </c>
      <c r="K24" s="30"/>
      <c r="L24" s="31">
        <v>6447</v>
      </c>
      <c r="M24" s="47">
        <f t="shared" si="0"/>
        <v>0</v>
      </c>
    </row>
    <row r="25" spans="1:13" x14ac:dyDescent="0.3">
      <c r="A25" s="5" t="s">
        <v>50</v>
      </c>
      <c r="B25" s="6" t="s">
        <v>27</v>
      </c>
      <c r="C25" s="6">
        <v>937917</v>
      </c>
      <c r="D25" s="6">
        <v>2022</v>
      </c>
      <c r="E25" s="6" t="s">
        <v>67</v>
      </c>
      <c r="F25" s="18" t="s">
        <v>110</v>
      </c>
      <c r="G25" s="6" t="s">
        <v>459</v>
      </c>
      <c r="H25" s="6" t="s">
        <v>133</v>
      </c>
      <c r="I25" s="7">
        <v>3479.7</v>
      </c>
      <c r="J25" s="7">
        <v>6959.39</v>
      </c>
      <c r="K25" s="7"/>
      <c r="L25" s="8">
        <v>6959.39</v>
      </c>
      <c r="M25" s="47">
        <f t="shared" si="0"/>
        <v>0</v>
      </c>
    </row>
    <row r="26" spans="1:13" x14ac:dyDescent="0.3">
      <c r="A26" s="17" t="s">
        <v>50</v>
      </c>
      <c r="B26" s="18" t="s">
        <v>27</v>
      </c>
      <c r="C26" s="18">
        <v>937917</v>
      </c>
      <c r="D26" s="18">
        <v>2022</v>
      </c>
      <c r="E26" s="18" t="s">
        <v>66</v>
      </c>
      <c r="F26" s="18" t="s">
        <v>110</v>
      </c>
      <c r="G26" s="18" t="s">
        <v>460</v>
      </c>
      <c r="H26" s="18" t="s">
        <v>133</v>
      </c>
      <c r="I26" s="30">
        <v>2429.77</v>
      </c>
      <c r="J26" s="30">
        <v>4859.53</v>
      </c>
      <c r="K26" s="30"/>
      <c r="L26" s="31">
        <v>4859.53</v>
      </c>
      <c r="M26" s="47">
        <f t="shared" si="0"/>
        <v>0</v>
      </c>
    </row>
    <row r="27" spans="1:13" x14ac:dyDescent="0.3">
      <c r="A27" s="5" t="s">
        <v>50</v>
      </c>
      <c r="B27" s="6" t="s">
        <v>27</v>
      </c>
      <c r="C27" s="6">
        <v>937917</v>
      </c>
      <c r="D27" s="6">
        <v>2022</v>
      </c>
      <c r="E27" s="6" t="s">
        <v>65</v>
      </c>
      <c r="F27" s="18" t="s">
        <v>110</v>
      </c>
      <c r="G27" s="6" t="s">
        <v>461</v>
      </c>
      <c r="H27" s="6" t="s">
        <v>160</v>
      </c>
      <c r="I27" s="7">
        <v>2928.39</v>
      </c>
      <c r="J27" s="7">
        <v>35140.639999999999</v>
      </c>
      <c r="K27" s="7"/>
      <c r="L27" s="8">
        <v>35140.639999999999</v>
      </c>
      <c r="M27" s="47">
        <f t="shared" si="0"/>
        <v>0</v>
      </c>
    </row>
    <row r="28" spans="1:13" x14ac:dyDescent="0.3">
      <c r="A28" s="17" t="s">
        <v>50</v>
      </c>
      <c r="B28" s="18" t="s">
        <v>27</v>
      </c>
      <c r="C28" s="18">
        <v>937917</v>
      </c>
      <c r="D28" s="18">
        <v>2022</v>
      </c>
      <c r="E28" s="18" t="s">
        <v>66</v>
      </c>
      <c r="F28" s="18" t="s">
        <v>110</v>
      </c>
      <c r="G28" s="18" t="s">
        <v>462</v>
      </c>
      <c r="H28" s="18" t="s">
        <v>116</v>
      </c>
      <c r="I28" s="30">
        <v>4766.75</v>
      </c>
      <c r="J28" s="30">
        <v>4766.75</v>
      </c>
      <c r="K28" s="30"/>
      <c r="L28" s="31">
        <v>4766.75</v>
      </c>
      <c r="M28" s="47">
        <f t="shared" si="0"/>
        <v>0</v>
      </c>
    </row>
    <row r="29" spans="1:13" x14ac:dyDescent="0.3">
      <c r="A29" s="5" t="s">
        <v>50</v>
      </c>
      <c r="B29" s="6" t="s">
        <v>27</v>
      </c>
      <c r="C29" s="6">
        <v>937917</v>
      </c>
      <c r="D29" s="6">
        <v>2022</v>
      </c>
      <c r="E29" s="6" t="s">
        <v>67</v>
      </c>
      <c r="F29" s="18" t="s">
        <v>110</v>
      </c>
      <c r="G29" s="6" t="s">
        <v>463</v>
      </c>
      <c r="H29" s="6" t="s">
        <v>114</v>
      </c>
      <c r="I29" s="7">
        <v>531.69000000000005</v>
      </c>
      <c r="J29" s="7">
        <v>2658.45</v>
      </c>
      <c r="K29" s="7"/>
      <c r="L29" s="8">
        <v>2658.45</v>
      </c>
      <c r="M29" s="47">
        <f t="shared" si="0"/>
        <v>0</v>
      </c>
    </row>
    <row r="30" spans="1:13" x14ac:dyDescent="0.3">
      <c r="A30" s="17" t="s">
        <v>50</v>
      </c>
      <c r="B30" s="18" t="s">
        <v>27</v>
      </c>
      <c r="C30" s="18">
        <v>937917</v>
      </c>
      <c r="D30" s="18">
        <v>2022</v>
      </c>
      <c r="E30" s="18" t="s">
        <v>67</v>
      </c>
      <c r="F30" s="18" t="s">
        <v>110</v>
      </c>
      <c r="G30" s="18" t="s">
        <v>464</v>
      </c>
      <c r="H30" s="18" t="s">
        <v>133</v>
      </c>
      <c r="I30" s="30">
        <v>205.34</v>
      </c>
      <c r="J30" s="30">
        <v>410.67</v>
      </c>
      <c r="K30" s="30"/>
      <c r="L30" s="31">
        <v>410.67</v>
      </c>
      <c r="M30" s="47">
        <f t="shared" si="0"/>
        <v>0</v>
      </c>
    </row>
    <row r="31" spans="1:13" x14ac:dyDescent="0.3">
      <c r="A31" s="5" t="s">
        <v>50</v>
      </c>
      <c r="B31" s="6" t="s">
        <v>27</v>
      </c>
      <c r="C31" s="6">
        <v>937917</v>
      </c>
      <c r="D31" s="6">
        <v>2022</v>
      </c>
      <c r="E31" s="6" t="s">
        <v>65</v>
      </c>
      <c r="F31" s="18" t="s">
        <v>110</v>
      </c>
      <c r="G31" s="6" t="s">
        <v>465</v>
      </c>
      <c r="H31" s="6" t="s">
        <v>160</v>
      </c>
      <c r="I31" s="7">
        <v>775.08</v>
      </c>
      <c r="J31" s="7">
        <v>9300.9599999999991</v>
      </c>
      <c r="K31" s="7"/>
      <c r="L31" s="8">
        <v>9300.9599999999991</v>
      </c>
      <c r="M31" s="47">
        <f t="shared" si="0"/>
        <v>0</v>
      </c>
    </row>
    <row r="32" spans="1:13" x14ac:dyDescent="0.3">
      <c r="A32" s="17" t="s">
        <v>50</v>
      </c>
      <c r="B32" s="18" t="s">
        <v>27</v>
      </c>
      <c r="C32" s="18">
        <v>937917</v>
      </c>
      <c r="D32" s="18">
        <v>2022</v>
      </c>
      <c r="E32" s="18" t="s">
        <v>67</v>
      </c>
      <c r="F32" s="18" t="s">
        <v>110</v>
      </c>
      <c r="G32" s="18" t="s">
        <v>466</v>
      </c>
      <c r="H32" s="18" t="s">
        <v>114</v>
      </c>
      <c r="I32" s="30">
        <v>866.07</v>
      </c>
      <c r="J32" s="30">
        <v>4330.33</v>
      </c>
      <c r="K32" s="30"/>
      <c r="L32" s="31">
        <v>4330.33</v>
      </c>
      <c r="M32" s="47">
        <f t="shared" si="0"/>
        <v>0</v>
      </c>
    </row>
    <row r="33" spans="1:13" x14ac:dyDescent="0.3">
      <c r="A33" s="5" t="s">
        <v>50</v>
      </c>
      <c r="B33" s="6" t="s">
        <v>27</v>
      </c>
      <c r="C33" s="6">
        <v>937917</v>
      </c>
      <c r="D33" s="6">
        <v>2022</v>
      </c>
      <c r="E33" s="6" t="s">
        <v>65</v>
      </c>
      <c r="F33" s="18" t="s">
        <v>110</v>
      </c>
      <c r="G33" s="6" t="s">
        <v>467</v>
      </c>
      <c r="H33" s="6" t="s">
        <v>160</v>
      </c>
      <c r="I33" s="7">
        <v>827.85</v>
      </c>
      <c r="J33" s="7">
        <v>9934.16</v>
      </c>
      <c r="K33" s="7"/>
      <c r="L33" s="8">
        <v>9934.16</v>
      </c>
      <c r="M33" s="47">
        <f t="shared" si="0"/>
        <v>0</v>
      </c>
    </row>
    <row r="34" spans="1:13" x14ac:dyDescent="0.3">
      <c r="A34" s="17" t="s">
        <v>50</v>
      </c>
      <c r="B34" s="18" t="s">
        <v>27</v>
      </c>
      <c r="C34" s="18">
        <v>937917</v>
      </c>
      <c r="D34" s="18">
        <v>2022</v>
      </c>
      <c r="E34" s="18" t="s">
        <v>66</v>
      </c>
      <c r="F34" s="18" t="s">
        <v>110</v>
      </c>
      <c r="G34" s="18" t="s">
        <v>468</v>
      </c>
      <c r="H34" s="18" t="s">
        <v>212</v>
      </c>
      <c r="I34" s="30">
        <v>438.9</v>
      </c>
      <c r="J34" s="30">
        <v>3511.23</v>
      </c>
      <c r="K34" s="30"/>
      <c r="L34" s="31">
        <v>3511.23</v>
      </c>
      <c r="M34" s="47">
        <f t="shared" si="0"/>
        <v>0</v>
      </c>
    </row>
    <row r="35" spans="1:13" x14ac:dyDescent="0.3">
      <c r="A35" s="5" t="s">
        <v>50</v>
      </c>
      <c r="B35" s="6" t="s">
        <v>27</v>
      </c>
      <c r="C35" s="6">
        <v>937917</v>
      </c>
      <c r="D35" s="6">
        <v>2022</v>
      </c>
      <c r="E35" s="18" t="s">
        <v>66</v>
      </c>
      <c r="F35" s="18" t="s">
        <v>110</v>
      </c>
      <c r="G35" s="42" t="s">
        <v>469</v>
      </c>
      <c r="H35" s="6" t="s">
        <v>116</v>
      </c>
      <c r="I35" s="7">
        <v>1399</v>
      </c>
      <c r="J35" s="7">
        <v>1399</v>
      </c>
      <c r="K35" s="7"/>
      <c r="L35" s="8">
        <v>1399</v>
      </c>
      <c r="M35" s="47">
        <f t="shared" si="0"/>
        <v>0</v>
      </c>
    </row>
    <row r="36" spans="1:13" x14ac:dyDescent="0.3">
      <c r="A36" s="17" t="s">
        <v>50</v>
      </c>
      <c r="B36" s="18" t="s">
        <v>27</v>
      </c>
      <c r="C36" s="18">
        <v>937917</v>
      </c>
      <c r="D36" s="18">
        <v>2022</v>
      </c>
      <c r="E36" s="18" t="s">
        <v>65</v>
      </c>
      <c r="F36" s="18" t="s">
        <v>110</v>
      </c>
      <c r="G36" s="18" t="s">
        <v>470</v>
      </c>
      <c r="H36" s="18" t="s">
        <v>160</v>
      </c>
      <c r="I36" s="30">
        <v>78.73</v>
      </c>
      <c r="J36" s="30">
        <v>944.76</v>
      </c>
      <c r="K36" s="30"/>
      <c r="L36" s="31">
        <v>944.76</v>
      </c>
      <c r="M36" s="47">
        <f t="shared" si="0"/>
        <v>0</v>
      </c>
    </row>
    <row r="37" spans="1:13" x14ac:dyDescent="0.3">
      <c r="A37" s="5" t="s">
        <v>50</v>
      </c>
      <c r="B37" s="6" t="s">
        <v>27</v>
      </c>
      <c r="C37" s="6">
        <v>937917</v>
      </c>
      <c r="D37" s="6">
        <v>2022</v>
      </c>
      <c r="E37" s="6" t="s">
        <v>67</v>
      </c>
      <c r="F37" s="18" t="s">
        <v>110</v>
      </c>
      <c r="G37" s="6" t="s">
        <v>471</v>
      </c>
      <c r="H37" s="6" t="s">
        <v>133</v>
      </c>
      <c r="I37" s="7">
        <v>2532.94</v>
      </c>
      <c r="J37" s="7">
        <v>5065.87</v>
      </c>
      <c r="K37" s="7"/>
      <c r="L37" s="8">
        <v>5065.87</v>
      </c>
      <c r="M37" s="47">
        <f t="shared" si="0"/>
        <v>0</v>
      </c>
    </row>
    <row r="38" spans="1:13" x14ac:dyDescent="0.3">
      <c r="A38" s="17" t="s">
        <v>50</v>
      </c>
      <c r="B38" s="18" t="s">
        <v>27</v>
      </c>
      <c r="C38" s="18">
        <v>937917</v>
      </c>
      <c r="D38" s="18">
        <v>2022</v>
      </c>
      <c r="E38" s="18" t="s">
        <v>65</v>
      </c>
      <c r="F38" s="18" t="s">
        <v>110</v>
      </c>
      <c r="G38" s="18" t="s">
        <v>472</v>
      </c>
      <c r="H38" s="18" t="s">
        <v>160</v>
      </c>
      <c r="I38" s="30">
        <v>246.65</v>
      </c>
      <c r="J38" s="30">
        <v>2959.8</v>
      </c>
      <c r="K38" s="30"/>
      <c r="L38" s="31">
        <v>2959.8</v>
      </c>
      <c r="M38" s="47">
        <f t="shared" si="0"/>
        <v>0</v>
      </c>
    </row>
    <row r="39" spans="1:13" x14ac:dyDescent="0.3">
      <c r="A39" s="5"/>
      <c r="B39" s="6"/>
      <c r="C39" s="6"/>
      <c r="D39" s="6"/>
      <c r="E39" s="6"/>
      <c r="F39" s="6"/>
      <c r="G39" s="6"/>
      <c r="H39" s="6"/>
      <c r="I39" s="7"/>
      <c r="J39" s="7"/>
      <c r="K39" s="7"/>
      <c r="L39" s="8"/>
    </row>
    <row r="40" spans="1:13" x14ac:dyDescent="0.3">
      <c r="A40" s="17"/>
      <c r="B40" s="18"/>
      <c r="C40" s="18"/>
      <c r="D40" s="18"/>
      <c r="E40" s="18"/>
      <c r="F40" s="18"/>
      <c r="G40" s="18"/>
      <c r="H40" s="18"/>
      <c r="I40" s="30"/>
      <c r="J40" s="30"/>
      <c r="K40" s="30"/>
      <c r="L40" s="31"/>
    </row>
  </sheetData>
  <autoFilter ref="A1:L38" xr:uid="{36A814B8-FBD9-4E5E-950E-D1EDCEABFABC}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118D3-ABBB-4096-95A3-10DE1CFFD9A8}">
  <dimension ref="A1:M59"/>
  <sheetViews>
    <sheetView zoomScale="70" zoomScaleNormal="70" workbookViewId="0">
      <selection sqref="A1:M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9" t="s">
        <v>0</v>
      </c>
      <c r="B1" s="10" t="s">
        <v>1</v>
      </c>
      <c r="C1" s="10" t="s">
        <v>2</v>
      </c>
      <c r="D1" s="10" t="s">
        <v>3</v>
      </c>
      <c r="E1" s="27" t="s">
        <v>94</v>
      </c>
      <c r="F1" s="27" t="s">
        <v>95</v>
      </c>
      <c r="G1" s="27" t="s">
        <v>96</v>
      </c>
      <c r="H1" s="27" t="s">
        <v>97</v>
      </c>
      <c r="I1" s="28" t="s">
        <v>98</v>
      </c>
      <c r="J1" s="28" t="s">
        <v>99</v>
      </c>
      <c r="K1" s="28" t="s">
        <v>100</v>
      </c>
      <c r="L1" s="29" t="s">
        <v>101</v>
      </c>
      <c r="M1" s="46" t="s">
        <v>102</v>
      </c>
    </row>
    <row r="2" spans="1:13" x14ac:dyDescent="0.3">
      <c r="A2" s="17" t="s">
        <v>52</v>
      </c>
      <c r="B2" s="18" t="s">
        <v>27</v>
      </c>
      <c r="C2" s="18">
        <v>937468</v>
      </c>
      <c r="D2" s="18">
        <v>2022</v>
      </c>
      <c r="E2" s="18" t="s">
        <v>134</v>
      </c>
      <c r="F2" s="18" t="s">
        <v>103</v>
      </c>
      <c r="G2" s="18" t="s">
        <v>473</v>
      </c>
      <c r="H2" s="18" t="s">
        <v>116</v>
      </c>
      <c r="I2" s="30">
        <v>13594.58</v>
      </c>
      <c r="J2" s="30">
        <v>13594.58</v>
      </c>
      <c r="K2" s="30">
        <v>0</v>
      </c>
      <c r="L2" s="31">
        <v>13594.58</v>
      </c>
      <c r="M2" s="47">
        <f>IF(E2="N/A", J2, IF(OR(K2=0, ISBLANK(K2), K2=""), 0, J2-K2))</f>
        <v>13594.58</v>
      </c>
    </row>
    <row r="3" spans="1:13" x14ac:dyDescent="0.3">
      <c r="A3" s="5" t="s">
        <v>52</v>
      </c>
      <c r="B3" s="6" t="s">
        <v>27</v>
      </c>
      <c r="C3" s="6">
        <v>937468</v>
      </c>
      <c r="D3" s="6">
        <v>2022</v>
      </c>
      <c r="E3" s="6" t="s">
        <v>65</v>
      </c>
      <c r="F3" s="18" t="s">
        <v>103</v>
      </c>
      <c r="G3" s="6" t="s">
        <v>474</v>
      </c>
      <c r="H3" s="6" t="s">
        <v>137</v>
      </c>
      <c r="I3" s="7">
        <v>70</v>
      </c>
      <c r="J3" s="7">
        <v>210</v>
      </c>
      <c r="K3" s="7"/>
      <c r="L3" s="8">
        <v>210</v>
      </c>
      <c r="M3" s="47">
        <f t="shared" ref="M3:M55" si="0">IF(E3="N/A", J3, IF(OR(K3=0, ISBLANK(K3), K3=""), 0, J3-K3))</f>
        <v>0</v>
      </c>
    </row>
    <row r="4" spans="1:13" x14ac:dyDescent="0.3">
      <c r="A4" s="17" t="s">
        <v>52</v>
      </c>
      <c r="B4" s="18" t="s">
        <v>27</v>
      </c>
      <c r="C4" s="18">
        <v>937468</v>
      </c>
      <c r="D4" s="18">
        <v>2022</v>
      </c>
      <c r="E4" s="18" t="s">
        <v>65</v>
      </c>
      <c r="F4" s="18" t="s">
        <v>103</v>
      </c>
      <c r="G4" s="18" t="s">
        <v>475</v>
      </c>
      <c r="H4" s="18" t="s">
        <v>137</v>
      </c>
      <c r="I4" s="30">
        <v>55.77</v>
      </c>
      <c r="J4" s="30">
        <v>167.31</v>
      </c>
      <c r="K4" s="30"/>
      <c r="L4" s="31">
        <v>167.31</v>
      </c>
      <c r="M4" s="47">
        <f t="shared" si="0"/>
        <v>0</v>
      </c>
    </row>
    <row r="5" spans="1:13" x14ac:dyDescent="0.3">
      <c r="A5" s="5" t="s">
        <v>52</v>
      </c>
      <c r="B5" s="6" t="s">
        <v>27</v>
      </c>
      <c r="C5" s="6">
        <v>937468</v>
      </c>
      <c r="D5" s="6">
        <v>2022</v>
      </c>
      <c r="E5" s="6" t="s">
        <v>65</v>
      </c>
      <c r="F5" s="18" t="s">
        <v>103</v>
      </c>
      <c r="G5" s="6" t="s">
        <v>476</v>
      </c>
      <c r="H5" s="6" t="s">
        <v>137</v>
      </c>
      <c r="I5" s="7">
        <v>166.33</v>
      </c>
      <c r="J5" s="7">
        <v>499</v>
      </c>
      <c r="K5" s="7"/>
      <c r="L5" s="8">
        <v>499</v>
      </c>
      <c r="M5" s="47">
        <f t="shared" si="0"/>
        <v>0</v>
      </c>
    </row>
    <row r="6" spans="1:13" x14ac:dyDescent="0.3">
      <c r="A6" s="17" t="s">
        <v>52</v>
      </c>
      <c r="B6" s="18" t="s">
        <v>27</v>
      </c>
      <c r="C6" s="18">
        <v>937468</v>
      </c>
      <c r="D6" s="18">
        <v>2022</v>
      </c>
      <c r="E6" s="18" t="s">
        <v>65</v>
      </c>
      <c r="F6" s="18" t="s">
        <v>103</v>
      </c>
      <c r="G6" s="18" t="s">
        <v>477</v>
      </c>
      <c r="H6" s="18" t="s">
        <v>137</v>
      </c>
      <c r="I6" s="30">
        <v>104</v>
      </c>
      <c r="J6" s="30">
        <v>312</v>
      </c>
      <c r="K6" s="30"/>
      <c r="L6" s="31">
        <v>312</v>
      </c>
      <c r="M6" s="47">
        <f t="shared" si="0"/>
        <v>0</v>
      </c>
    </row>
    <row r="7" spans="1:13" x14ac:dyDescent="0.3">
      <c r="A7" s="5" t="s">
        <v>52</v>
      </c>
      <c r="B7" s="6" t="s">
        <v>27</v>
      </c>
      <c r="C7" s="6">
        <v>937468</v>
      </c>
      <c r="D7" s="6">
        <v>2022</v>
      </c>
      <c r="E7" s="6" t="s">
        <v>66</v>
      </c>
      <c r="F7" s="18" t="s">
        <v>103</v>
      </c>
      <c r="G7" s="6" t="s">
        <v>478</v>
      </c>
      <c r="H7" s="6" t="s">
        <v>244</v>
      </c>
      <c r="I7" s="7">
        <v>70</v>
      </c>
      <c r="J7" s="7">
        <v>490</v>
      </c>
      <c r="K7" s="7"/>
      <c r="L7" s="8">
        <v>490</v>
      </c>
      <c r="M7" s="47">
        <f t="shared" si="0"/>
        <v>0</v>
      </c>
    </row>
    <row r="8" spans="1:13" x14ac:dyDescent="0.3">
      <c r="A8" s="17" t="s">
        <v>52</v>
      </c>
      <c r="B8" s="18" t="s">
        <v>27</v>
      </c>
      <c r="C8" s="18">
        <v>937468</v>
      </c>
      <c r="D8" s="18">
        <v>2022</v>
      </c>
      <c r="E8" s="18" t="s">
        <v>66</v>
      </c>
      <c r="F8" s="18" t="s">
        <v>103</v>
      </c>
      <c r="G8" s="18" t="s">
        <v>479</v>
      </c>
      <c r="H8" s="18" t="s">
        <v>175</v>
      </c>
      <c r="I8" s="30">
        <v>171.68</v>
      </c>
      <c r="J8" s="30">
        <v>2575.1999999999998</v>
      </c>
      <c r="K8" s="30"/>
      <c r="L8" s="31">
        <v>2575.1999999999998</v>
      </c>
      <c r="M8" s="47">
        <f t="shared" si="0"/>
        <v>0</v>
      </c>
    </row>
    <row r="9" spans="1:13" x14ac:dyDescent="0.3">
      <c r="A9" s="5" t="s">
        <v>52</v>
      </c>
      <c r="B9" s="6" t="s">
        <v>27</v>
      </c>
      <c r="C9" s="6">
        <v>937468</v>
      </c>
      <c r="D9" s="6">
        <v>2022</v>
      </c>
      <c r="E9" s="6" t="s">
        <v>66</v>
      </c>
      <c r="F9" s="18" t="s">
        <v>103</v>
      </c>
      <c r="G9" s="6" t="s">
        <v>480</v>
      </c>
      <c r="H9" s="6" t="s">
        <v>244</v>
      </c>
      <c r="I9" s="7">
        <v>166.33</v>
      </c>
      <c r="J9" s="7">
        <v>1164.31</v>
      </c>
      <c r="K9" s="7"/>
      <c r="L9" s="8">
        <v>1164.31</v>
      </c>
      <c r="M9" s="47">
        <f t="shared" si="0"/>
        <v>0</v>
      </c>
    </row>
    <row r="10" spans="1:13" x14ac:dyDescent="0.3">
      <c r="A10" s="17" t="s">
        <v>52</v>
      </c>
      <c r="B10" s="18" t="s">
        <v>27</v>
      </c>
      <c r="C10" s="18">
        <v>937468</v>
      </c>
      <c r="D10" s="18">
        <v>2022</v>
      </c>
      <c r="E10" s="18" t="s">
        <v>66</v>
      </c>
      <c r="F10" s="18" t="s">
        <v>103</v>
      </c>
      <c r="G10" s="18" t="s">
        <v>481</v>
      </c>
      <c r="H10" s="18" t="s">
        <v>244</v>
      </c>
      <c r="I10" s="30">
        <v>104</v>
      </c>
      <c r="J10" s="30">
        <v>728</v>
      </c>
      <c r="K10" s="30"/>
      <c r="L10" s="31">
        <v>728</v>
      </c>
      <c r="M10" s="47">
        <f t="shared" si="0"/>
        <v>0</v>
      </c>
    </row>
    <row r="11" spans="1:13" x14ac:dyDescent="0.3">
      <c r="A11" s="5" t="s">
        <v>52</v>
      </c>
      <c r="B11" s="6" t="s">
        <v>27</v>
      </c>
      <c r="C11" s="6">
        <v>937468</v>
      </c>
      <c r="D11" s="6">
        <v>2022</v>
      </c>
      <c r="E11" s="6" t="s">
        <v>67</v>
      </c>
      <c r="F11" s="18" t="s">
        <v>103</v>
      </c>
      <c r="G11" s="6" t="s">
        <v>482</v>
      </c>
      <c r="H11" s="6" t="s">
        <v>483</v>
      </c>
      <c r="I11" s="7">
        <v>61.82</v>
      </c>
      <c r="J11" s="7">
        <v>1978.13</v>
      </c>
      <c r="K11" s="7"/>
      <c r="L11" s="8">
        <v>1978.13</v>
      </c>
      <c r="M11" s="47">
        <f t="shared" si="0"/>
        <v>0</v>
      </c>
    </row>
    <row r="12" spans="1:13" x14ac:dyDescent="0.3">
      <c r="A12" s="17" t="s">
        <v>52</v>
      </c>
      <c r="B12" s="18" t="s">
        <v>27</v>
      </c>
      <c r="C12" s="18">
        <v>937468</v>
      </c>
      <c r="D12" s="18">
        <v>2022</v>
      </c>
      <c r="E12" s="18" t="s">
        <v>67</v>
      </c>
      <c r="F12" s="18" t="s">
        <v>103</v>
      </c>
      <c r="G12" s="18" t="s">
        <v>484</v>
      </c>
      <c r="H12" s="18" t="s">
        <v>175</v>
      </c>
      <c r="I12" s="30">
        <v>191.98</v>
      </c>
      <c r="J12" s="30">
        <v>2879.7</v>
      </c>
      <c r="K12" s="30"/>
      <c r="L12" s="31">
        <v>2879.7</v>
      </c>
      <c r="M12" s="47">
        <f t="shared" si="0"/>
        <v>0</v>
      </c>
    </row>
    <row r="13" spans="1:13" x14ac:dyDescent="0.3">
      <c r="A13" s="5" t="s">
        <v>52</v>
      </c>
      <c r="B13" s="6" t="s">
        <v>27</v>
      </c>
      <c r="C13" s="6">
        <v>937468</v>
      </c>
      <c r="D13" s="6">
        <v>2022</v>
      </c>
      <c r="E13" s="6" t="s">
        <v>67</v>
      </c>
      <c r="F13" s="18" t="s">
        <v>103</v>
      </c>
      <c r="G13" s="6" t="s">
        <v>485</v>
      </c>
      <c r="H13" s="6" t="s">
        <v>175</v>
      </c>
      <c r="I13" s="7">
        <v>240.71</v>
      </c>
      <c r="J13" s="7">
        <v>3610.65</v>
      </c>
      <c r="K13" s="7"/>
      <c r="L13" s="8">
        <v>3610.65</v>
      </c>
      <c r="M13" s="47">
        <f t="shared" si="0"/>
        <v>0</v>
      </c>
    </row>
    <row r="14" spans="1:13" x14ac:dyDescent="0.3">
      <c r="A14" s="17" t="s">
        <v>52</v>
      </c>
      <c r="B14" s="18" t="s">
        <v>27</v>
      </c>
      <c r="C14" s="18">
        <v>937468</v>
      </c>
      <c r="D14" s="18">
        <v>2022</v>
      </c>
      <c r="E14" s="18" t="s">
        <v>67</v>
      </c>
      <c r="F14" s="18" t="s">
        <v>103</v>
      </c>
      <c r="G14" s="18" t="s">
        <v>486</v>
      </c>
      <c r="H14" s="18" t="s">
        <v>324</v>
      </c>
      <c r="I14" s="30">
        <v>49</v>
      </c>
      <c r="J14" s="30">
        <v>2450</v>
      </c>
      <c r="K14" s="30"/>
      <c r="L14" s="31">
        <v>2450</v>
      </c>
      <c r="M14" s="47">
        <f t="shared" si="0"/>
        <v>0</v>
      </c>
    </row>
    <row r="15" spans="1:13" x14ac:dyDescent="0.3">
      <c r="A15" s="5" t="s">
        <v>52</v>
      </c>
      <c r="B15" s="6" t="s">
        <v>27</v>
      </c>
      <c r="C15" s="6">
        <v>937468</v>
      </c>
      <c r="D15" s="6">
        <v>2022</v>
      </c>
      <c r="E15" s="6" t="s">
        <v>67</v>
      </c>
      <c r="F15" s="18" t="s">
        <v>103</v>
      </c>
      <c r="G15" s="6" t="s">
        <v>487</v>
      </c>
      <c r="H15" s="6" t="s">
        <v>116</v>
      </c>
      <c r="I15" s="7">
        <v>756.1</v>
      </c>
      <c r="J15" s="7">
        <v>756.1</v>
      </c>
      <c r="K15" s="7"/>
      <c r="L15" s="8">
        <v>756.1</v>
      </c>
      <c r="M15" s="47">
        <f t="shared" si="0"/>
        <v>0</v>
      </c>
    </row>
    <row r="16" spans="1:13" x14ac:dyDescent="0.3">
      <c r="A16" s="17" t="s">
        <v>52</v>
      </c>
      <c r="B16" s="18" t="s">
        <v>27</v>
      </c>
      <c r="C16" s="18">
        <v>937468</v>
      </c>
      <c r="D16" s="18">
        <v>2022</v>
      </c>
      <c r="E16" s="18" t="s">
        <v>67</v>
      </c>
      <c r="F16" s="18" t="s">
        <v>103</v>
      </c>
      <c r="G16" s="18" t="s">
        <v>488</v>
      </c>
      <c r="H16" s="18" t="s">
        <v>114</v>
      </c>
      <c r="I16" s="30">
        <v>148.18</v>
      </c>
      <c r="J16" s="30">
        <v>740.9</v>
      </c>
      <c r="K16" s="30"/>
      <c r="L16" s="31">
        <v>740.9</v>
      </c>
      <c r="M16" s="47">
        <f t="shared" si="0"/>
        <v>0</v>
      </c>
    </row>
    <row r="17" spans="1:13" x14ac:dyDescent="0.3">
      <c r="A17" s="5" t="s">
        <v>52</v>
      </c>
      <c r="B17" s="6" t="s">
        <v>27</v>
      </c>
      <c r="C17" s="6">
        <v>937468</v>
      </c>
      <c r="D17" s="6">
        <v>2022</v>
      </c>
      <c r="E17" s="6" t="s">
        <v>67</v>
      </c>
      <c r="F17" s="18" t="s">
        <v>103</v>
      </c>
      <c r="G17" s="6" t="s">
        <v>489</v>
      </c>
      <c r="H17" s="6" t="s">
        <v>114</v>
      </c>
      <c r="I17" s="7">
        <v>148.18</v>
      </c>
      <c r="J17" s="7">
        <v>740.9</v>
      </c>
      <c r="K17" s="7"/>
      <c r="L17" s="8">
        <v>740.9</v>
      </c>
      <c r="M17" s="47">
        <f t="shared" si="0"/>
        <v>0</v>
      </c>
    </row>
    <row r="18" spans="1:13" x14ac:dyDescent="0.3">
      <c r="A18" s="17" t="s">
        <v>52</v>
      </c>
      <c r="B18" s="18" t="s">
        <v>27</v>
      </c>
      <c r="C18" s="18">
        <v>937468</v>
      </c>
      <c r="D18" s="18">
        <v>2022</v>
      </c>
      <c r="E18" s="18" t="s">
        <v>67</v>
      </c>
      <c r="F18" s="18" t="s">
        <v>103</v>
      </c>
      <c r="G18" s="18" t="s">
        <v>490</v>
      </c>
      <c r="H18" s="18" t="s">
        <v>116</v>
      </c>
      <c r="I18" s="30">
        <v>285.48</v>
      </c>
      <c r="J18" s="30">
        <v>285.48</v>
      </c>
      <c r="K18" s="30"/>
      <c r="L18" s="31">
        <v>285.48</v>
      </c>
      <c r="M18" s="47">
        <f t="shared" si="0"/>
        <v>0</v>
      </c>
    </row>
    <row r="19" spans="1:13" x14ac:dyDescent="0.3">
      <c r="A19" s="5" t="s">
        <v>52</v>
      </c>
      <c r="B19" s="6" t="s">
        <v>27</v>
      </c>
      <c r="C19" s="6">
        <v>937468</v>
      </c>
      <c r="D19" s="6">
        <v>2022</v>
      </c>
      <c r="E19" s="6" t="s">
        <v>67</v>
      </c>
      <c r="F19" s="18" t="s">
        <v>103</v>
      </c>
      <c r="G19" s="6" t="s">
        <v>491</v>
      </c>
      <c r="H19" s="6" t="s">
        <v>112</v>
      </c>
      <c r="I19" s="7">
        <v>54.99</v>
      </c>
      <c r="J19" s="7">
        <v>219.96</v>
      </c>
      <c r="K19" s="7"/>
      <c r="L19" s="8">
        <v>219.96</v>
      </c>
      <c r="M19" s="47">
        <f t="shared" si="0"/>
        <v>0</v>
      </c>
    </row>
    <row r="20" spans="1:13" x14ac:dyDescent="0.3">
      <c r="A20" s="17" t="s">
        <v>52</v>
      </c>
      <c r="B20" s="18" t="s">
        <v>27</v>
      </c>
      <c r="C20" s="18">
        <v>937468</v>
      </c>
      <c r="D20" s="18">
        <v>2022</v>
      </c>
      <c r="E20" s="18" t="s">
        <v>67</v>
      </c>
      <c r="F20" s="18" t="s">
        <v>103</v>
      </c>
      <c r="G20" s="18" t="s">
        <v>492</v>
      </c>
      <c r="H20" s="18" t="s">
        <v>133</v>
      </c>
      <c r="I20" s="30">
        <v>269.7</v>
      </c>
      <c r="J20" s="30">
        <v>539.4</v>
      </c>
      <c r="K20" s="30"/>
      <c r="L20" s="31">
        <v>539.4</v>
      </c>
      <c r="M20" s="47">
        <f t="shared" si="0"/>
        <v>0</v>
      </c>
    </row>
    <row r="21" spans="1:13" x14ac:dyDescent="0.3">
      <c r="A21" s="5" t="s">
        <v>52</v>
      </c>
      <c r="B21" s="6" t="s">
        <v>27</v>
      </c>
      <c r="C21" s="6">
        <v>937468</v>
      </c>
      <c r="D21" s="6">
        <v>2022</v>
      </c>
      <c r="E21" s="6" t="s">
        <v>67</v>
      </c>
      <c r="F21" s="18" t="s">
        <v>103</v>
      </c>
      <c r="G21" s="6" t="s">
        <v>493</v>
      </c>
      <c r="H21" s="6" t="s">
        <v>114</v>
      </c>
      <c r="I21" s="7">
        <v>82.5</v>
      </c>
      <c r="J21" s="7">
        <v>412.5</v>
      </c>
      <c r="K21" s="7"/>
      <c r="L21" s="8">
        <v>412.5</v>
      </c>
      <c r="M21" s="47">
        <f t="shared" si="0"/>
        <v>0</v>
      </c>
    </row>
    <row r="22" spans="1:13" x14ac:dyDescent="0.3">
      <c r="A22" s="17" t="s">
        <v>52</v>
      </c>
      <c r="B22" s="18" t="s">
        <v>27</v>
      </c>
      <c r="C22" s="18">
        <v>937468</v>
      </c>
      <c r="D22" s="18">
        <v>2022</v>
      </c>
      <c r="E22" s="18" t="s">
        <v>67</v>
      </c>
      <c r="F22" s="18" t="s">
        <v>103</v>
      </c>
      <c r="G22" s="18" t="s">
        <v>494</v>
      </c>
      <c r="H22" s="18" t="s">
        <v>133</v>
      </c>
      <c r="I22" s="30">
        <v>801.54</v>
      </c>
      <c r="J22" s="30">
        <v>1603.08</v>
      </c>
      <c r="K22" s="30"/>
      <c r="L22" s="31">
        <v>1603.08</v>
      </c>
      <c r="M22" s="47">
        <f t="shared" si="0"/>
        <v>0</v>
      </c>
    </row>
    <row r="23" spans="1:13" x14ac:dyDescent="0.3">
      <c r="A23" s="5" t="s">
        <v>52</v>
      </c>
      <c r="B23" s="6" t="s">
        <v>27</v>
      </c>
      <c r="C23" s="6">
        <v>937468</v>
      </c>
      <c r="D23" s="6">
        <v>2022</v>
      </c>
      <c r="E23" s="6" t="s">
        <v>67</v>
      </c>
      <c r="F23" s="18" t="s">
        <v>103</v>
      </c>
      <c r="G23" s="6" t="s">
        <v>495</v>
      </c>
      <c r="H23" s="6" t="s">
        <v>263</v>
      </c>
      <c r="I23" s="7">
        <v>43.98</v>
      </c>
      <c r="J23" s="7">
        <v>4398</v>
      </c>
      <c r="K23" s="7"/>
      <c r="L23" s="8">
        <v>4398</v>
      </c>
      <c r="M23" s="47">
        <f t="shared" si="0"/>
        <v>0</v>
      </c>
    </row>
    <row r="24" spans="1:13" x14ac:dyDescent="0.3">
      <c r="A24" s="17" t="s">
        <v>52</v>
      </c>
      <c r="B24" s="18" t="s">
        <v>27</v>
      </c>
      <c r="C24" s="18">
        <v>937468</v>
      </c>
      <c r="D24" s="18">
        <v>2022</v>
      </c>
      <c r="E24" s="18" t="s">
        <v>67</v>
      </c>
      <c r="F24" s="18" t="s">
        <v>103</v>
      </c>
      <c r="G24" s="18" t="s">
        <v>496</v>
      </c>
      <c r="H24" s="18" t="s">
        <v>167</v>
      </c>
      <c r="I24" s="30">
        <v>344.91</v>
      </c>
      <c r="J24" s="30">
        <v>2069.44</v>
      </c>
      <c r="K24" s="30"/>
      <c r="L24" s="31">
        <v>2069.44</v>
      </c>
      <c r="M24" s="47">
        <f t="shared" si="0"/>
        <v>0</v>
      </c>
    </row>
    <row r="25" spans="1:13" x14ac:dyDescent="0.3">
      <c r="A25" s="5" t="s">
        <v>52</v>
      </c>
      <c r="B25" s="6" t="s">
        <v>27</v>
      </c>
      <c r="C25" s="6">
        <v>937468</v>
      </c>
      <c r="D25" s="6">
        <v>2022</v>
      </c>
      <c r="E25" s="6" t="s">
        <v>67</v>
      </c>
      <c r="F25" s="18" t="s">
        <v>103</v>
      </c>
      <c r="G25" s="6" t="s">
        <v>497</v>
      </c>
      <c r="H25" s="6" t="s">
        <v>244</v>
      </c>
      <c r="I25" s="7">
        <v>69.02</v>
      </c>
      <c r="J25" s="7">
        <v>483.14</v>
      </c>
      <c r="K25" s="7"/>
      <c r="L25" s="8">
        <v>483.14</v>
      </c>
      <c r="M25" s="47">
        <f t="shared" si="0"/>
        <v>0</v>
      </c>
    </row>
    <row r="26" spans="1:13" x14ac:dyDescent="0.3">
      <c r="A26" s="17" t="s">
        <v>52</v>
      </c>
      <c r="B26" s="18" t="s">
        <v>27</v>
      </c>
      <c r="C26" s="18">
        <v>937468</v>
      </c>
      <c r="D26" s="18">
        <v>2022</v>
      </c>
      <c r="E26" s="18" t="s">
        <v>67</v>
      </c>
      <c r="F26" s="18" t="s">
        <v>103</v>
      </c>
      <c r="G26" s="18" t="s">
        <v>498</v>
      </c>
      <c r="H26" s="18" t="s">
        <v>116</v>
      </c>
      <c r="I26" s="30">
        <v>451.67</v>
      </c>
      <c r="J26" s="30">
        <v>451.67</v>
      </c>
      <c r="K26" s="30"/>
      <c r="L26" s="31">
        <v>451.67</v>
      </c>
      <c r="M26" s="47">
        <f t="shared" si="0"/>
        <v>0</v>
      </c>
    </row>
    <row r="27" spans="1:13" x14ac:dyDescent="0.3">
      <c r="A27" s="5" t="s">
        <v>52</v>
      </c>
      <c r="B27" s="6" t="s">
        <v>27</v>
      </c>
      <c r="C27" s="6">
        <v>937468</v>
      </c>
      <c r="D27" s="6">
        <v>2022</v>
      </c>
      <c r="E27" s="6" t="s">
        <v>67</v>
      </c>
      <c r="F27" s="18" t="s">
        <v>103</v>
      </c>
      <c r="G27" s="6" t="s">
        <v>499</v>
      </c>
      <c r="H27" s="6" t="s">
        <v>116</v>
      </c>
      <c r="I27" s="7">
        <v>592</v>
      </c>
      <c r="J27" s="7">
        <v>592</v>
      </c>
      <c r="K27" s="7"/>
      <c r="L27" s="8">
        <v>592</v>
      </c>
      <c r="M27" s="47">
        <f t="shared" si="0"/>
        <v>0</v>
      </c>
    </row>
    <row r="28" spans="1:13" x14ac:dyDescent="0.3">
      <c r="A28" s="17" t="s">
        <v>52</v>
      </c>
      <c r="B28" s="18" t="s">
        <v>27</v>
      </c>
      <c r="C28" s="18">
        <v>937468</v>
      </c>
      <c r="D28" s="18">
        <v>2022</v>
      </c>
      <c r="E28" s="18" t="s">
        <v>67</v>
      </c>
      <c r="F28" s="18" t="s">
        <v>103</v>
      </c>
      <c r="G28" s="18" t="s">
        <v>500</v>
      </c>
      <c r="H28" s="18" t="s">
        <v>216</v>
      </c>
      <c r="I28" s="30">
        <v>291.67</v>
      </c>
      <c r="J28" s="30">
        <v>8750.1</v>
      </c>
      <c r="K28" s="30"/>
      <c r="L28" s="31">
        <v>8750.1</v>
      </c>
      <c r="M28" s="47">
        <f t="shared" si="0"/>
        <v>0</v>
      </c>
    </row>
    <row r="29" spans="1:13" x14ac:dyDescent="0.3">
      <c r="A29" s="5" t="s">
        <v>52</v>
      </c>
      <c r="B29" s="6" t="s">
        <v>27</v>
      </c>
      <c r="C29" s="6">
        <v>937468</v>
      </c>
      <c r="D29" s="6">
        <v>2022</v>
      </c>
      <c r="E29" s="6" t="s">
        <v>66</v>
      </c>
      <c r="F29" s="6" t="s">
        <v>110</v>
      </c>
      <c r="G29" s="6" t="s">
        <v>501</v>
      </c>
      <c r="H29" s="6" t="s">
        <v>116</v>
      </c>
      <c r="I29" s="7">
        <v>1500</v>
      </c>
      <c r="J29" s="7">
        <v>1500</v>
      </c>
      <c r="K29" s="7"/>
      <c r="L29" s="8">
        <v>1500</v>
      </c>
      <c r="M29" s="47">
        <f t="shared" si="0"/>
        <v>0</v>
      </c>
    </row>
    <row r="30" spans="1:13" x14ac:dyDescent="0.3">
      <c r="A30" s="17" t="s">
        <v>52</v>
      </c>
      <c r="B30" s="18" t="s">
        <v>27</v>
      </c>
      <c r="C30" s="18">
        <v>937468</v>
      </c>
      <c r="D30" s="18">
        <v>2022</v>
      </c>
      <c r="E30" s="18" t="s">
        <v>66</v>
      </c>
      <c r="F30" s="6" t="s">
        <v>110</v>
      </c>
      <c r="G30" s="18" t="s">
        <v>502</v>
      </c>
      <c r="H30" s="18" t="s">
        <v>137</v>
      </c>
      <c r="I30" s="30">
        <v>1200</v>
      </c>
      <c r="J30" s="30">
        <v>3600</v>
      </c>
      <c r="K30" s="30"/>
      <c r="L30" s="31">
        <v>3600</v>
      </c>
      <c r="M30" s="47">
        <f t="shared" si="0"/>
        <v>0</v>
      </c>
    </row>
    <row r="31" spans="1:13" x14ac:dyDescent="0.3">
      <c r="A31" s="5" t="s">
        <v>52</v>
      </c>
      <c r="B31" s="6" t="s">
        <v>27</v>
      </c>
      <c r="C31" s="6">
        <v>937468</v>
      </c>
      <c r="D31" s="6">
        <v>2022</v>
      </c>
      <c r="E31" s="6" t="s">
        <v>66</v>
      </c>
      <c r="F31" s="6" t="s">
        <v>110</v>
      </c>
      <c r="G31" s="6" t="s">
        <v>503</v>
      </c>
      <c r="H31" s="6" t="s">
        <v>114</v>
      </c>
      <c r="I31" s="7">
        <v>530</v>
      </c>
      <c r="J31" s="7">
        <v>2650</v>
      </c>
      <c r="K31" s="7"/>
      <c r="L31" s="8">
        <v>2650</v>
      </c>
      <c r="M31" s="47">
        <f t="shared" si="0"/>
        <v>0</v>
      </c>
    </row>
    <row r="32" spans="1:13" x14ac:dyDescent="0.3">
      <c r="A32" s="17" t="s">
        <v>52</v>
      </c>
      <c r="B32" s="18" t="s">
        <v>27</v>
      </c>
      <c r="C32" s="18">
        <v>937468</v>
      </c>
      <c r="D32" s="18">
        <v>2022</v>
      </c>
      <c r="E32" s="18" t="s">
        <v>66</v>
      </c>
      <c r="F32" s="6" t="s">
        <v>110</v>
      </c>
      <c r="G32" s="18" t="s">
        <v>504</v>
      </c>
      <c r="H32" s="18" t="s">
        <v>133</v>
      </c>
      <c r="I32" s="30">
        <v>2600</v>
      </c>
      <c r="J32" s="30">
        <v>5200</v>
      </c>
      <c r="K32" s="30"/>
      <c r="L32" s="31">
        <v>5200</v>
      </c>
      <c r="M32" s="47">
        <f t="shared" si="0"/>
        <v>0</v>
      </c>
    </row>
    <row r="33" spans="1:13" x14ac:dyDescent="0.3">
      <c r="A33" s="5" t="s">
        <v>52</v>
      </c>
      <c r="B33" s="6" t="s">
        <v>27</v>
      </c>
      <c r="C33" s="6">
        <v>937468</v>
      </c>
      <c r="D33" s="6">
        <v>2022</v>
      </c>
      <c r="E33" s="6" t="s">
        <v>67</v>
      </c>
      <c r="F33" s="6" t="s">
        <v>110</v>
      </c>
      <c r="G33" s="6" t="s">
        <v>505</v>
      </c>
      <c r="H33" s="6" t="s">
        <v>116</v>
      </c>
      <c r="I33" s="7">
        <v>3933.72</v>
      </c>
      <c r="J33" s="7">
        <v>3933.72</v>
      </c>
      <c r="K33" s="7"/>
      <c r="L33" s="8">
        <v>3933.72</v>
      </c>
      <c r="M33" s="47">
        <f t="shared" si="0"/>
        <v>0</v>
      </c>
    </row>
    <row r="34" spans="1:13" x14ac:dyDescent="0.3">
      <c r="A34" s="17" t="s">
        <v>52</v>
      </c>
      <c r="B34" s="18" t="s">
        <v>27</v>
      </c>
      <c r="C34" s="18">
        <v>937468</v>
      </c>
      <c r="D34" s="18">
        <v>2022</v>
      </c>
      <c r="E34" s="18" t="s">
        <v>65</v>
      </c>
      <c r="F34" s="6" t="s">
        <v>110</v>
      </c>
      <c r="G34" s="18" t="s">
        <v>506</v>
      </c>
      <c r="H34" s="18" t="s">
        <v>137</v>
      </c>
      <c r="I34" s="30">
        <v>9163.33</v>
      </c>
      <c r="J34" s="30">
        <v>27490</v>
      </c>
      <c r="K34" s="30"/>
      <c r="L34" s="31">
        <v>27490</v>
      </c>
      <c r="M34" s="47">
        <f t="shared" si="0"/>
        <v>0</v>
      </c>
    </row>
    <row r="35" spans="1:13" x14ac:dyDescent="0.3">
      <c r="A35" s="5" t="s">
        <v>52</v>
      </c>
      <c r="B35" s="6" t="s">
        <v>27</v>
      </c>
      <c r="C35" s="6">
        <v>937468</v>
      </c>
      <c r="D35" s="6">
        <v>2022</v>
      </c>
      <c r="E35" s="6" t="s">
        <v>65</v>
      </c>
      <c r="F35" s="6" t="s">
        <v>110</v>
      </c>
      <c r="G35" s="6" t="s">
        <v>507</v>
      </c>
      <c r="H35" s="6" t="s">
        <v>137</v>
      </c>
      <c r="I35" s="7">
        <v>1200</v>
      </c>
      <c r="J35" s="7">
        <v>3600</v>
      </c>
      <c r="K35" s="7"/>
      <c r="L35" s="8">
        <v>3600</v>
      </c>
      <c r="M35" s="47">
        <f t="shared" si="0"/>
        <v>0</v>
      </c>
    </row>
    <row r="36" spans="1:13" x14ac:dyDescent="0.3">
      <c r="A36" s="17" t="s">
        <v>52</v>
      </c>
      <c r="B36" s="18" t="s">
        <v>27</v>
      </c>
      <c r="C36" s="18">
        <v>937468</v>
      </c>
      <c r="D36" s="18">
        <v>2022</v>
      </c>
      <c r="E36" s="18" t="s">
        <v>65</v>
      </c>
      <c r="F36" s="6" t="s">
        <v>110</v>
      </c>
      <c r="G36" s="18" t="s">
        <v>508</v>
      </c>
      <c r="H36" s="18" t="s">
        <v>137</v>
      </c>
      <c r="I36" s="30">
        <v>506.15</v>
      </c>
      <c r="J36" s="30">
        <v>1518.45</v>
      </c>
      <c r="K36" s="30"/>
      <c r="L36" s="31">
        <v>1518.45</v>
      </c>
      <c r="M36" s="47">
        <f t="shared" si="0"/>
        <v>0</v>
      </c>
    </row>
    <row r="37" spans="1:13" x14ac:dyDescent="0.3">
      <c r="A37" s="5" t="s">
        <v>52</v>
      </c>
      <c r="B37" s="6" t="s">
        <v>27</v>
      </c>
      <c r="C37" s="6">
        <v>937468</v>
      </c>
      <c r="D37" s="6">
        <v>2022</v>
      </c>
      <c r="E37" s="6" t="s">
        <v>65</v>
      </c>
      <c r="F37" s="6" t="s">
        <v>110</v>
      </c>
      <c r="G37" s="6" t="s">
        <v>509</v>
      </c>
      <c r="H37" s="6" t="s">
        <v>137</v>
      </c>
      <c r="I37" s="7">
        <v>1179.99</v>
      </c>
      <c r="J37" s="7">
        <v>3539.97</v>
      </c>
      <c r="K37" s="7"/>
      <c r="L37" s="8">
        <v>3539.97</v>
      </c>
      <c r="M37" s="47">
        <f t="shared" si="0"/>
        <v>0</v>
      </c>
    </row>
    <row r="38" spans="1:13" x14ac:dyDescent="0.3">
      <c r="A38" s="17" t="s">
        <v>52</v>
      </c>
      <c r="B38" s="18" t="s">
        <v>27</v>
      </c>
      <c r="C38" s="18">
        <v>937468</v>
      </c>
      <c r="D38" s="18">
        <v>2022</v>
      </c>
      <c r="E38" s="18" t="s">
        <v>65</v>
      </c>
      <c r="F38" s="6" t="s">
        <v>110</v>
      </c>
      <c r="G38" s="18" t="s">
        <v>510</v>
      </c>
      <c r="H38" s="18" t="s">
        <v>137</v>
      </c>
      <c r="I38" s="30">
        <v>448</v>
      </c>
      <c r="J38" s="30">
        <v>1344</v>
      </c>
      <c r="K38" s="30">
        <v>1344</v>
      </c>
      <c r="L38" s="31">
        <v>1344</v>
      </c>
      <c r="M38" s="47">
        <f t="shared" si="0"/>
        <v>0</v>
      </c>
    </row>
    <row r="39" spans="1:13" x14ac:dyDescent="0.3">
      <c r="A39" s="5" t="s">
        <v>52</v>
      </c>
      <c r="B39" s="6" t="s">
        <v>27</v>
      </c>
      <c r="C39" s="6">
        <v>937468</v>
      </c>
      <c r="D39" s="6">
        <v>2022</v>
      </c>
      <c r="E39" s="6" t="s">
        <v>65</v>
      </c>
      <c r="F39" s="6" t="s">
        <v>110</v>
      </c>
      <c r="G39" s="6" t="s">
        <v>511</v>
      </c>
      <c r="H39" s="6" t="s">
        <v>137</v>
      </c>
      <c r="I39" s="7">
        <v>7446</v>
      </c>
      <c r="J39" s="7">
        <v>22338</v>
      </c>
      <c r="K39" s="7"/>
      <c r="L39" s="8">
        <v>22338</v>
      </c>
      <c r="M39" s="47">
        <f t="shared" si="0"/>
        <v>0</v>
      </c>
    </row>
    <row r="40" spans="1:13" x14ac:dyDescent="0.3">
      <c r="A40" s="17" t="s">
        <v>52</v>
      </c>
      <c r="B40" s="18" t="s">
        <v>27</v>
      </c>
      <c r="C40" s="18">
        <v>937468</v>
      </c>
      <c r="D40" s="18">
        <v>2022</v>
      </c>
      <c r="E40" s="18" t="s">
        <v>66</v>
      </c>
      <c r="F40" s="6" t="s">
        <v>110</v>
      </c>
      <c r="G40" s="18" t="s">
        <v>512</v>
      </c>
      <c r="H40" s="18" t="s">
        <v>137</v>
      </c>
      <c r="I40" s="30">
        <v>9163.33</v>
      </c>
      <c r="J40" s="30">
        <v>27489.99</v>
      </c>
      <c r="K40" s="30"/>
      <c r="L40" s="31">
        <v>27489.99</v>
      </c>
      <c r="M40" s="47">
        <f t="shared" si="0"/>
        <v>0</v>
      </c>
    </row>
    <row r="41" spans="1:13" x14ac:dyDescent="0.3">
      <c r="A41" s="5" t="s">
        <v>52</v>
      </c>
      <c r="B41" s="6" t="s">
        <v>27</v>
      </c>
      <c r="C41" s="6">
        <v>937468</v>
      </c>
      <c r="D41" s="6">
        <v>2022</v>
      </c>
      <c r="E41" s="6" t="s">
        <v>66</v>
      </c>
      <c r="F41" s="6" t="s">
        <v>110</v>
      </c>
      <c r="G41" s="6" t="s">
        <v>502</v>
      </c>
      <c r="H41" s="6" t="s">
        <v>217</v>
      </c>
      <c r="I41" s="7">
        <v>1200</v>
      </c>
      <c r="J41" s="7">
        <v>19200</v>
      </c>
      <c r="K41" s="7"/>
      <c r="L41" s="8">
        <v>19200</v>
      </c>
      <c r="M41" s="47">
        <f t="shared" si="0"/>
        <v>0</v>
      </c>
    </row>
    <row r="42" spans="1:13" x14ac:dyDescent="0.3">
      <c r="A42" s="17" t="s">
        <v>52</v>
      </c>
      <c r="B42" s="18" t="s">
        <v>27</v>
      </c>
      <c r="C42" s="18">
        <v>937468</v>
      </c>
      <c r="D42" s="18">
        <v>2022</v>
      </c>
      <c r="E42" s="18" t="s">
        <v>66</v>
      </c>
      <c r="F42" s="6" t="s">
        <v>110</v>
      </c>
      <c r="G42" s="18" t="s">
        <v>513</v>
      </c>
      <c r="H42" s="18" t="s">
        <v>273</v>
      </c>
      <c r="I42" s="30">
        <v>506.15</v>
      </c>
      <c r="J42" s="30">
        <v>8604.5499999999993</v>
      </c>
      <c r="K42" s="30"/>
      <c r="L42" s="31">
        <v>8604.5499999999993</v>
      </c>
      <c r="M42" s="47">
        <f t="shared" si="0"/>
        <v>0</v>
      </c>
    </row>
    <row r="43" spans="1:13" x14ac:dyDescent="0.3">
      <c r="A43" s="5" t="s">
        <v>52</v>
      </c>
      <c r="B43" s="6" t="s">
        <v>27</v>
      </c>
      <c r="C43" s="6">
        <v>937468</v>
      </c>
      <c r="D43" s="6">
        <v>2022</v>
      </c>
      <c r="E43" s="6" t="s">
        <v>66</v>
      </c>
      <c r="F43" s="6" t="s">
        <v>110</v>
      </c>
      <c r="G43" s="6" t="s">
        <v>514</v>
      </c>
      <c r="H43" s="6" t="s">
        <v>167</v>
      </c>
      <c r="I43" s="7">
        <v>1179.99</v>
      </c>
      <c r="J43" s="7">
        <v>7079.94</v>
      </c>
      <c r="K43" s="7">
        <v>10619.91</v>
      </c>
      <c r="L43" s="8">
        <v>-3539.97</v>
      </c>
      <c r="M43" s="47">
        <f t="shared" si="0"/>
        <v>-3539.9700000000003</v>
      </c>
    </row>
    <row r="44" spans="1:13" x14ac:dyDescent="0.3">
      <c r="A44" s="17" t="s">
        <v>52</v>
      </c>
      <c r="B44" s="18" t="s">
        <v>27</v>
      </c>
      <c r="C44" s="18">
        <v>937468</v>
      </c>
      <c r="D44" s="18">
        <v>2022</v>
      </c>
      <c r="E44" s="18" t="s">
        <v>66</v>
      </c>
      <c r="F44" s="6" t="s">
        <v>110</v>
      </c>
      <c r="G44" s="18" t="s">
        <v>515</v>
      </c>
      <c r="H44" s="18" t="s">
        <v>137</v>
      </c>
      <c r="I44" s="30">
        <v>448</v>
      </c>
      <c r="J44" s="30">
        <v>1344</v>
      </c>
      <c r="K44" s="30">
        <v>1344</v>
      </c>
      <c r="L44" s="31">
        <v>1344</v>
      </c>
      <c r="M44" s="47">
        <f t="shared" si="0"/>
        <v>0</v>
      </c>
    </row>
    <row r="45" spans="1:13" x14ac:dyDescent="0.3">
      <c r="A45" s="5" t="s">
        <v>52</v>
      </c>
      <c r="B45" s="6" t="s">
        <v>27</v>
      </c>
      <c r="C45" s="6">
        <v>937468</v>
      </c>
      <c r="D45" s="6">
        <v>2022</v>
      </c>
      <c r="E45" s="6" t="s">
        <v>66</v>
      </c>
      <c r="F45" s="6" t="s">
        <v>110</v>
      </c>
      <c r="G45" s="6" t="s">
        <v>516</v>
      </c>
      <c r="H45" s="6" t="s">
        <v>116</v>
      </c>
      <c r="I45" s="7">
        <v>2332.67</v>
      </c>
      <c r="J45" s="7">
        <v>2332.67</v>
      </c>
      <c r="K45" s="7"/>
      <c r="L45" s="8">
        <v>2332.67</v>
      </c>
      <c r="M45" s="47">
        <f t="shared" si="0"/>
        <v>0</v>
      </c>
    </row>
    <row r="46" spans="1:13" x14ac:dyDescent="0.3">
      <c r="A46" s="17" t="s">
        <v>52</v>
      </c>
      <c r="B46" s="18" t="s">
        <v>27</v>
      </c>
      <c r="C46" s="18">
        <v>937468</v>
      </c>
      <c r="D46" s="18">
        <v>2022</v>
      </c>
      <c r="E46" s="18" t="s">
        <v>67</v>
      </c>
      <c r="F46" s="6" t="s">
        <v>110</v>
      </c>
      <c r="G46" s="18" t="s">
        <v>505</v>
      </c>
      <c r="H46" s="18" t="s">
        <v>116</v>
      </c>
      <c r="I46" s="30">
        <v>3020.33</v>
      </c>
      <c r="J46" s="30">
        <v>3020.33</v>
      </c>
      <c r="K46" s="30"/>
      <c r="L46" s="31">
        <v>3020.33</v>
      </c>
      <c r="M46" s="47">
        <f t="shared" si="0"/>
        <v>0</v>
      </c>
    </row>
    <row r="47" spans="1:13" x14ac:dyDescent="0.3">
      <c r="A47" s="5" t="s">
        <v>52</v>
      </c>
      <c r="B47" s="6" t="s">
        <v>27</v>
      </c>
      <c r="C47" s="6">
        <v>937468</v>
      </c>
      <c r="D47" s="6">
        <v>2022</v>
      </c>
      <c r="E47" s="6" t="s">
        <v>67</v>
      </c>
      <c r="F47" s="6" t="s">
        <v>110</v>
      </c>
      <c r="G47" s="6" t="s">
        <v>517</v>
      </c>
      <c r="H47" s="6" t="s">
        <v>116</v>
      </c>
      <c r="I47" s="7">
        <v>929.38</v>
      </c>
      <c r="J47" s="7">
        <v>929.38</v>
      </c>
      <c r="K47" s="7"/>
      <c r="L47" s="8">
        <v>929.38</v>
      </c>
      <c r="M47" s="47">
        <f t="shared" si="0"/>
        <v>0</v>
      </c>
    </row>
    <row r="48" spans="1:13" x14ac:dyDescent="0.3">
      <c r="A48" s="17" t="s">
        <v>52</v>
      </c>
      <c r="B48" s="18" t="s">
        <v>27</v>
      </c>
      <c r="C48" s="18">
        <v>937468</v>
      </c>
      <c r="D48" s="18">
        <v>2022</v>
      </c>
      <c r="E48" s="18" t="s">
        <v>67</v>
      </c>
      <c r="F48" s="6" t="s">
        <v>110</v>
      </c>
      <c r="G48" s="18" t="s">
        <v>518</v>
      </c>
      <c r="H48" s="18" t="s">
        <v>167</v>
      </c>
      <c r="I48" s="30">
        <v>1837.7</v>
      </c>
      <c r="J48" s="30">
        <v>11026.2</v>
      </c>
      <c r="K48" s="30"/>
      <c r="L48" s="31">
        <v>11026.2</v>
      </c>
      <c r="M48" s="47">
        <f t="shared" si="0"/>
        <v>0</v>
      </c>
    </row>
    <row r="49" spans="1:13" x14ac:dyDescent="0.3">
      <c r="A49" s="5" t="s">
        <v>52</v>
      </c>
      <c r="B49" s="6" t="s">
        <v>27</v>
      </c>
      <c r="C49" s="6">
        <v>937468</v>
      </c>
      <c r="D49" s="6">
        <v>2022</v>
      </c>
      <c r="E49" s="6" t="s">
        <v>67</v>
      </c>
      <c r="F49" s="6" t="s">
        <v>110</v>
      </c>
      <c r="G49" s="6" t="s">
        <v>519</v>
      </c>
      <c r="H49" s="6" t="s">
        <v>116</v>
      </c>
      <c r="I49" s="7">
        <v>2500</v>
      </c>
      <c r="J49" s="7">
        <v>2500</v>
      </c>
      <c r="K49" s="7">
        <v>2500</v>
      </c>
      <c r="L49" s="8">
        <v>0</v>
      </c>
      <c r="M49" s="47">
        <f t="shared" si="0"/>
        <v>0</v>
      </c>
    </row>
    <row r="50" spans="1:13" x14ac:dyDescent="0.3">
      <c r="A50" s="17" t="s">
        <v>52</v>
      </c>
      <c r="B50" s="18" t="s">
        <v>27</v>
      </c>
      <c r="C50" s="18">
        <v>937468</v>
      </c>
      <c r="D50" s="18">
        <v>2022</v>
      </c>
      <c r="E50" s="18" t="s">
        <v>67</v>
      </c>
      <c r="F50" s="6" t="s">
        <v>110</v>
      </c>
      <c r="G50" s="18" t="s">
        <v>520</v>
      </c>
      <c r="H50" s="18" t="s">
        <v>133</v>
      </c>
      <c r="I50" s="30">
        <v>332.1</v>
      </c>
      <c r="J50" s="30">
        <v>664.2</v>
      </c>
      <c r="K50" s="30"/>
      <c r="L50" s="31">
        <v>664.2</v>
      </c>
      <c r="M50" s="47">
        <f t="shared" si="0"/>
        <v>0</v>
      </c>
    </row>
    <row r="51" spans="1:13" x14ac:dyDescent="0.3">
      <c r="A51" s="5" t="s">
        <v>52</v>
      </c>
      <c r="B51" s="6" t="s">
        <v>27</v>
      </c>
      <c r="C51" s="6">
        <v>937468</v>
      </c>
      <c r="D51" s="6">
        <v>2022</v>
      </c>
      <c r="E51" s="6" t="s">
        <v>67</v>
      </c>
      <c r="F51" s="6" t="s">
        <v>110</v>
      </c>
      <c r="G51" s="6" t="s">
        <v>521</v>
      </c>
      <c r="H51" s="6" t="s">
        <v>133</v>
      </c>
      <c r="I51" s="7">
        <v>659</v>
      </c>
      <c r="J51" s="7">
        <v>1318</v>
      </c>
      <c r="K51" s="7">
        <v>1318</v>
      </c>
      <c r="L51" s="8">
        <v>0</v>
      </c>
      <c r="M51" s="47">
        <f t="shared" si="0"/>
        <v>0</v>
      </c>
    </row>
    <row r="52" spans="1:13" x14ac:dyDescent="0.3">
      <c r="A52" s="17" t="s">
        <v>52</v>
      </c>
      <c r="B52" s="18" t="s">
        <v>27</v>
      </c>
      <c r="C52" s="18">
        <v>937468</v>
      </c>
      <c r="D52" s="18">
        <v>2022</v>
      </c>
      <c r="E52" s="18" t="s">
        <v>67</v>
      </c>
      <c r="F52" s="6" t="s">
        <v>110</v>
      </c>
      <c r="G52" s="18" t="s">
        <v>522</v>
      </c>
      <c r="H52" s="18" t="s">
        <v>112</v>
      </c>
      <c r="I52" s="30">
        <v>8171.54</v>
      </c>
      <c r="J52" s="30">
        <v>32686.16</v>
      </c>
      <c r="K52" s="30"/>
      <c r="L52" s="31">
        <v>32686.16</v>
      </c>
      <c r="M52" s="47">
        <f t="shared" si="0"/>
        <v>0</v>
      </c>
    </row>
    <row r="53" spans="1:13" x14ac:dyDescent="0.3">
      <c r="A53" s="5" t="s">
        <v>52</v>
      </c>
      <c r="B53" s="6" t="s">
        <v>27</v>
      </c>
      <c r="C53" s="6">
        <v>937468</v>
      </c>
      <c r="D53" s="6">
        <v>2022</v>
      </c>
      <c r="E53" s="6" t="s">
        <v>67</v>
      </c>
      <c r="F53" s="6" t="s">
        <v>110</v>
      </c>
      <c r="G53" s="6" t="s">
        <v>523</v>
      </c>
      <c r="H53" s="6" t="s">
        <v>212</v>
      </c>
      <c r="I53" s="7">
        <v>1278.83</v>
      </c>
      <c r="J53" s="7">
        <v>10230.67</v>
      </c>
      <c r="K53" s="7"/>
      <c r="L53" s="8">
        <v>10230.67</v>
      </c>
      <c r="M53" s="47">
        <f t="shared" si="0"/>
        <v>0</v>
      </c>
    </row>
    <row r="54" spans="1:13" x14ac:dyDescent="0.3">
      <c r="A54" s="17" t="s">
        <v>52</v>
      </c>
      <c r="B54" s="18" t="s">
        <v>27</v>
      </c>
      <c r="C54" s="18">
        <v>937468</v>
      </c>
      <c r="D54" s="18">
        <v>2022</v>
      </c>
      <c r="E54" s="18" t="s">
        <v>67</v>
      </c>
      <c r="F54" s="6" t="s">
        <v>110</v>
      </c>
      <c r="G54" s="18" t="s">
        <v>524</v>
      </c>
      <c r="H54" s="18" t="s">
        <v>133</v>
      </c>
      <c r="I54" s="30">
        <v>2499</v>
      </c>
      <c r="J54" s="30">
        <v>4998</v>
      </c>
      <c r="K54" s="30"/>
      <c r="L54" s="31">
        <v>4998</v>
      </c>
      <c r="M54" s="47">
        <f t="shared" si="0"/>
        <v>0</v>
      </c>
    </row>
    <row r="55" spans="1:13" x14ac:dyDescent="0.3">
      <c r="A55" s="5" t="s">
        <v>52</v>
      </c>
      <c r="B55" s="6" t="s">
        <v>27</v>
      </c>
      <c r="C55" s="6">
        <v>937468</v>
      </c>
      <c r="D55" s="6">
        <v>2022</v>
      </c>
      <c r="E55" s="6" t="s">
        <v>134</v>
      </c>
      <c r="F55" s="6" t="s">
        <v>110</v>
      </c>
      <c r="G55" s="6" t="s">
        <v>525</v>
      </c>
      <c r="H55" s="6" t="s">
        <v>116</v>
      </c>
      <c r="I55" s="7">
        <v>2421</v>
      </c>
      <c r="J55" s="7">
        <v>2421</v>
      </c>
      <c r="K55" s="7">
        <v>0</v>
      </c>
      <c r="L55" s="8">
        <v>2421</v>
      </c>
      <c r="M55" s="47">
        <f t="shared" si="0"/>
        <v>2421</v>
      </c>
    </row>
    <row r="56" spans="1:13" x14ac:dyDescent="0.3">
      <c r="A56" s="5" t="s">
        <v>52</v>
      </c>
      <c r="B56" s="6" t="s">
        <v>27</v>
      </c>
      <c r="C56" s="6">
        <v>937468</v>
      </c>
      <c r="D56" s="6">
        <v>2022</v>
      </c>
      <c r="E56" s="18" t="s">
        <v>66</v>
      </c>
      <c r="F56" s="18" t="s">
        <v>110</v>
      </c>
      <c r="G56" s="18" t="s">
        <v>658</v>
      </c>
      <c r="H56" s="18">
        <v>7</v>
      </c>
      <c r="I56" s="30">
        <v>3124</v>
      </c>
      <c r="J56" s="30">
        <f>H56*I56</f>
        <v>21868</v>
      </c>
      <c r="K56" s="30">
        <v>0</v>
      </c>
      <c r="L56" s="8">
        <v>2422</v>
      </c>
      <c r="M56" s="47">
        <f t="shared" ref="M56" si="1">IF(E56="N/A", J56, IF(OR(K56=0, ISBLANK(K56), K56=""), 0, J56-K56))</f>
        <v>0</v>
      </c>
    </row>
    <row r="57" spans="1:13" x14ac:dyDescent="0.3">
      <c r="A57" s="5"/>
      <c r="B57" s="6"/>
      <c r="C57" s="6"/>
      <c r="D57" s="6"/>
      <c r="E57" s="6"/>
      <c r="F57" s="6"/>
      <c r="G57" s="6"/>
      <c r="H57" s="6"/>
      <c r="I57" s="7"/>
      <c r="J57" s="7"/>
      <c r="K57" s="7"/>
      <c r="L57" s="8"/>
    </row>
    <row r="58" spans="1:13" x14ac:dyDescent="0.3">
      <c r="A58" s="17"/>
      <c r="B58" s="18"/>
      <c r="C58" s="18"/>
      <c r="D58" s="18"/>
      <c r="E58" s="18"/>
      <c r="F58" s="18"/>
      <c r="G58" s="18"/>
      <c r="H58" s="18"/>
      <c r="I58" s="30"/>
      <c r="J58" s="30"/>
      <c r="K58" s="30"/>
      <c r="L58" s="31"/>
    </row>
    <row r="59" spans="1:13" x14ac:dyDescent="0.3">
      <c r="A59" s="5"/>
      <c r="B59" s="6"/>
      <c r="C59" s="6"/>
      <c r="D59" s="6"/>
      <c r="E59" s="6"/>
      <c r="F59" s="6"/>
      <c r="G59" s="6"/>
      <c r="H59" s="6"/>
      <c r="I59" s="7"/>
      <c r="J59" s="7"/>
      <c r="K59" s="7"/>
      <c r="L59" s="8"/>
    </row>
  </sheetData>
  <autoFilter ref="A1:M56" xr:uid="{42D118D3-ABBB-4096-95A3-10DE1CFFD9A8}"/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D517-0EA8-4538-BB96-E50BAA0D6698}">
  <dimension ref="A1:M63"/>
  <sheetViews>
    <sheetView zoomScale="70" zoomScaleNormal="70" workbookViewId="0">
      <selection sqref="A1:M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4.59765625" style="3" bestFit="1" customWidth="1"/>
    <col min="13" max="13" width="15.8984375" bestFit="1" customWidth="1"/>
  </cols>
  <sheetData>
    <row r="1" spans="1:13" ht="46.8" x14ac:dyDescent="0.3">
      <c r="A1" s="9" t="s">
        <v>0</v>
      </c>
      <c r="B1" s="10" t="s">
        <v>1</v>
      </c>
      <c r="C1" s="10" t="s">
        <v>2</v>
      </c>
      <c r="D1" s="10" t="s">
        <v>3</v>
      </c>
      <c r="E1" s="27" t="s">
        <v>94</v>
      </c>
      <c r="F1" s="27" t="s">
        <v>95</v>
      </c>
      <c r="G1" s="27" t="s">
        <v>96</v>
      </c>
      <c r="H1" s="27" t="s">
        <v>97</v>
      </c>
      <c r="I1" s="28" t="s">
        <v>98</v>
      </c>
      <c r="J1" s="28" t="s">
        <v>99</v>
      </c>
      <c r="K1" s="28" t="s">
        <v>100</v>
      </c>
      <c r="L1" s="29" t="s">
        <v>101</v>
      </c>
      <c r="M1" s="46" t="s">
        <v>102</v>
      </c>
    </row>
    <row r="2" spans="1:13" x14ac:dyDescent="0.3">
      <c r="A2" s="17" t="s">
        <v>54</v>
      </c>
      <c r="B2" s="18" t="s">
        <v>27</v>
      </c>
      <c r="C2" s="18">
        <v>937817</v>
      </c>
      <c r="D2" s="18">
        <v>2022</v>
      </c>
      <c r="E2" s="18" t="s">
        <v>67</v>
      </c>
      <c r="F2" s="18" t="s">
        <v>103</v>
      </c>
      <c r="G2" s="18" t="s">
        <v>526</v>
      </c>
      <c r="H2" s="18" t="s">
        <v>527</v>
      </c>
      <c r="I2" s="30">
        <v>386.8</v>
      </c>
      <c r="J2" s="30">
        <v>17406.150000000001</v>
      </c>
      <c r="K2" s="30">
        <v>16000</v>
      </c>
      <c r="L2" s="31">
        <f>J2-K2</f>
        <v>1406.1500000000015</v>
      </c>
      <c r="M2" s="47">
        <f>IF(E2="N/A", J2, IF(OR(K2=0, ISBLANK(K2), K2=""), 0, J2-K2))</f>
        <v>1406.1500000000015</v>
      </c>
    </row>
    <row r="3" spans="1:13" x14ac:dyDescent="0.3">
      <c r="A3" s="5" t="s">
        <v>54</v>
      </c>
      <c r="B3" s="6" t="s">
        <v>27</v>
      </c>
      <c r="C3" s="6">
        <v>937817</v>
      </c>
      <c r="D3" s="6">
        <v>2022</v>
      </c>
      <c r="E3" s="18" t="s">
        <v>67</v>
      </c>
      <c r="F3" s="18" t="s">
        <v>103</v>
      </c>
      <c r="G3" s="6" t="s">
        <v>528</v>
      </c>
      <c r="H3" s="6" t="s">
        <v>263</v>
      </c>
      <c r="I3" s="7">
        <v>117.05</v>
      </c>
      <c r="J3" s="7">
        <v>11705</v>
      </c>
      <c r="K3" s="7"/>
      <c r="L3" s="8">
        <v>11705</v>
      </c>
      <c r="M3" s="47">
        <f t="shared" ref="M3:M60" si="0">IF(E3="N/A", J3, IF(OR(K3=0, ISBLANK(K3), K3=""), 0, J3-K3))</f>
        <v>0</v>
      </c>
    </row>
    <row r="4" spans="1:13" x14ac:dyDescent="0.3">
      <c r="A4" s="17" t="s">
        <v>54</v>
      </c>
      <c r="B4" s="18" t="s">
        <v>27</v>
      </c>
      <c r="C4" s="18">
        <v>937817</v>
      </c>
      <c r="D4" s="18">
        <v>2022</v>
      </c>
      <c r="E4" s="18" t="s">
        <v>67</v>
      </c>
      <c r="F4" s="18" t="s">
        <v>103</v>
      </c>
      <c r="G4" s="18" t="s">
        <v>529</v>
      </c>
      <c r="H4" s="18" t="s">
        <v>126</v>
      </c>
      <c r="I4" s="30">
        <v>237.6</v>
      </c>
      <c r="J4" s="30">
        <v>2375.9699999999998</v>
      </c>
      <c r="K4" s="30">
        <v>1616.24</v>
      </c>
      <c r="L4" s="31">
        <v>759.73</v>
      </c>
      <c r="M4" s="47">
        <f t="shared" si="0"/>
        <v>759.72999999999979</v>
      </c>
    </row>
    <row r="5" spans="1:13" x14ac:dyDescent="0.3">
      <c r="A5" s="5" t="s">
        <v>54</v>
      </c>
      <c r="B5" s="6" t="s">
        <v>27</v>
      </c>
      <c r="C5" s="6">
        <v>937817</v>
      </c>
      <c r="D5" s="6">
        <v>2022</v>
      </c>
      <c r="E5" s="18" t="s">
        <v>67</v>
      </c>
      <c r="F5" s="18" t="s">
        <v>103</v>
      </c>
      <c r="G5" s="6" t="s">
        <v>530</v>
      </c>
      <c r="H5" s="6" t="s">
        <v>133</v>
      </c>
      <c r="I5" s="7">
        <v>78.739999999999995</v>
      </c>
      <c r="J5" s="7">
        <v>157.47</v>
      </c>
      <c r="K5" s="7">
        <v>540</v>
      </c>
      <c r="L5" s="8">
        <f>J5-K5</f>
        <v>-382.53</v>
      </c>
      <c r="M5" s="47">
        <f t="shared" si="0"/>
        <v>-382.53</v>
      </c>
    </row>
    <row r="6" spans="1:13" x14ac:dyDescent="0.3">
      <c r="A6" s="17" t="s">
        <v>54</v>
      </c>
      <c r="B6" s="18" t="s">
        <v>27</v>
      </c>
      <c r="C6" s="18">
        <v>937817</v>
      </c>
      <c r="D6" s="18">
        <v>2022</v>
      </c>
      <c r="E6" s="18" t="s">
        <v>67</v>
      </c>
      <c r="F6" s="18" t="s">
        <v>103</v>
      </c>
      <c r="G6" s="18" t="s">
        <v>531</v>
      </c>
      <c r="H6" s="18" t="s">
        <v>116</v>
      </c>
      <c r="I6" s="30">
        <v>3968.1</v>
      </c>
      <c r="J6" s="30">
        <v>3968.1</v>
      </c>
      <c r="K6" s="30"/>
      <c r="L6" s="31">
        <v>3968.1</v>
      </c>
      <c r="M6" s="47">
        <f t="shared" si="0"/>
        <v>0</v>
      </c>
    </row>
    <row r="7" spans="1:13" x14ac:dyDescent="0.3">
      <c r="A7" s="5" t="s">
        <v>54</v>
      </c>
      <c r="B7" s="6" t="s">
        <v>27</v>
      </c>
      <c r="C7" s="6">
        <v>937817</v>
      </c>
      <c r="D7" s="6">
        <v>2022</v>
      </c>
      <c r="E7" s="18" t="s">
        <v>67</v>
      </c>
      <c r="F7" s="18" t="s">
        <v>103</v>
      </c>
      <c r="G7" s="6" t="s">
        <v>532</v>
      </c>
      <c r="H7" s="6" t="s">
        <v>324</v>
      </c>
      <c r="I7" s="7">
        <v>27.08</v>
      </c>
      <c r="J7" s="7">
        <v>1353.83</v>
      </c>
      <c r="K7" s="7"/>
      <c r="L7" s="8">
        <v>1353.83</v>
      </c>
      <c r="M7" s="47">
        <f t="shared" si="0"/>
        <v>0</v>
      </c>
    </row>
    <row r="8" spans="1:13" x14ac:dyDescent="0.3">
      <c r="A8" s="17" t="s">
        <v>54</v>
      </c>
      <c r="B8" s="18" t="s">
        <v>27</v>
      </c>
      <c r="C8" s="18">
        <v>937817</v>
      </c>
      <c r="D8" s="18">
        <v>2022</v>
      </c>
      <c r="E8" s="18" t="s">
        <v>67</v>
      </c>
      <c r="F8" s="18" t="s">
        <v>103</v>
      </c>
      <c r="G8" s="18" t="s">
        <v>533</v>
      </c>
      <c r="H8" s="18" t="s">
        <v>185</v>
      </c>
      <c r="I8" s="30">
        <v>217</v>
      </c>
      <c r="J8" s="30">
        <v>4340.07</v>
      </c>
      <c r="K8" s="30"/>
      <c r="L8" s="31">
        <v>-539.73</v>
      </c>
      <c r="M8" s="47">
        <f t="shared" si="0"/>
        <v>0</v>
      </c>
    </row>
    <row r="9" spans="1:13" x14ac:dyDescent="0.3">
      <c r="A9" s="5" t="s">
        <v>54</v>
      </c>
      <c r="B9" s="6" t="s">
        <v>27</v>
      </c>
      <c r="C9" s="6">
        <v>937817</v>
      </c>
      <c r="D9" s="6">
        <v>2022</v>
      </c>
      <c r="E9" s="18" t="s">
        <v>67</v>
      </c>
      <c r="F9" s="18" t="s">
        <v>103</v>
      </c>
      <c r="G9" s="6" t="s">
        <v>534</v>
      </c>
      <c r="H9" s="6" t="s">
        <v>216</v>
      </c>
      <c r="I9" s="7">
        <v>169.53</v>
      </c>
      <c r="J9" s="7">
        <v>5086</v>
      </c>
      <c r="K9" s="7"/>
      <c r="L9" s="8">
        <v>5086</v>
      </c>
      <c r="M9" s="47">
        <f t="shared" si="0"/>
        <v>0</v>
      </c>
    </row>
    <row r="10" spans="1:13" x14ac:dyDescent="0.3">
      <c r="A10" s="17" t="s">
        <v>54</v>
      </c>
      <c r="B10" s="18" t="s">
        <v>27</v>
      </c>
      <c r="C10" s="18">
        <v>937817</v>
      </c>
      <c r="D10" s="18">
        <v>2022</v>
      </c>
      <c r="E10" s="18" t="s">
        <v>67</v>
      </c>
      <c r="F10" s="18" t="s">
        <v>103</v>
      </c>
      <c r="G10" s="18" t="s">
        <v>535</v>
      </c>
      <c r="H10" s="18" t="s">
        <v>126</v>
      </c>
      <c r="I10" s="30">
        <v>94.67</v>
      </c>
      <c r="J10" s="30">
        <v>946.66</v>
      </c>
      <c r="K10" s="30"/>
      <c r="L10" s="31">
        <v>946.66</v>
      </c>
      <c r="M10" s="47">
        <f t="shared" si="0"/>
        <v>0</v>
      </c>
    </row>
    <row r="11" spans="1:13" x14ac:dyDescent="0.3">
      <c r="A11" s="5" t="s">
        <v>54</v>
      </c>
      <c r="B11" s="6" t="s">
        <v>27</v>
      </c>
      <c r="C11" s="6">
        <v>937817</v>
      </c>
      <c r="D11" s="6">
        <v>2022</v>
      </c>
      <c r="E11" s="18" t="s">
        <v>67</v>
      </c>
      <c r="F11" s="18" t="s">
        <v>103</v>
      </c>
      <c r="G11" s="6" t="s">
        <v>536</v>
      </c>
      <c r="H11" s="6" t="s">
        <v>332</v>
      </c>
      <c r="I11" s="7">
        <v>262.8</v>
      </c>
      <c r="J11" s="7">
        <v>7095.51</v>
      </c>
      <c r="K11" s="7">
        <v>5270</v>
      </c>
      <c r="L11" s="8">
        <v>1825.51</v>
      </c>
      <c r="M11" s="47">
        <f t="shared" si="0"/>
        <v>1825.5100000000002</v>
      </c>
    </row>
    <row r="12" spans="1:13" x14ac:dyDescent="0.3">
      <c r="A12" s="17" t="s">
        <v>54</v>
      </c>
      <c r="B12" s="18" t="s">
        <v>27</v>
      </c>
      <c r="C12" s="18">
        <v>937817</v>
      </c>
      <c r="D12" s="18">
        <v>2022</v>
      </c>
      <c r="E12" s="18" t="s">
        <v>67</v>
      </c>
      <c r="F12" s="18" t="s">
        <v>103</v>
      </c>
      <c r="G12" s="18" t="s">
        <v>537</v>
      </c>
      <c r="H12" s="18" t="s">
        <v>175</v>
      </c>
      <c r="I12" s="30">
        <v>182.8</v>
      </c>
      <c r="J12" s="30">
        <v>2742</v>
      </c>
      <c r="K12" s="30"/>
      <c r="L12" s="31">
        <f>J12-K12</f>
        <v>2742</v>
      </c>
      <c r="M12" s="47">
        <f t="shared" si="0"/>
        <v>0</v>
      </c>
    </row>
    <row r="13" spans="1:13" x14ac:dyDescent="0.3">
      <c r="A13" s="5" t="s">
        <v>54</v>
      </c>
      <c r="B13" s="6" t="s">
        <v>27</v>
      </c>
      <c r="C13" s="6">
        <v>937817</v>
      </c>
      <c r="D13" s="6">
        <v>2022</v>
      </c>
      <c r="E13" s="18" t="s">
        <v>67</v>
      </c>
      <c r="F13" s="18" t="s">
        <v>103</v>
      </c>
      <c r="G13" s="6" t="s">
        <v>538</v>
      </c>
      <c r="H13" s="6" t="s">
        <v>112</v>
      </c>
      <c r="I13" s="7">
        <v>165.02</v>
      </c>
      <c r="J13" s="7">
        <v>660.07</v>
      </c>
      <c r="K13" s="7">
        <v>880</v>
      </c>
      <c r="L13" s="8">
        <f>J13-K13</f>
        <v>-219.92999999999995</v>
      </c>
      <c r="M13" s="47">
        <f t="shared" si="0"/>
        <v>-219.92999999999995</v>
      </c>
    </row>
    <row r="14" spans="1:13" x14ac:dyDescent="0.3">
      <c r="A14" s="17" t="s">
        <v>54</v>
      </c>
      <c r="B14" s="18" t="s">
        <v>27</v>
      </c>
      <c r="C14" s="18">
        <v>937817</v>
      </c>
      <c r="D14" s="18">
        <v>2022</v>
      </c>
      <c r="E14" s="18" t="s">
        <v>67</v>
      </c>
      <c r="F14" s="18" t="s">
        <v>103</v>
      </c>
      <c r="G14" s="18" t="s">
        <v>539</v>
      </c>
      <c r="H14" s="18" t="s">
        <v>133</v>
      </c>
      <c r="I14" s="30">
        <v>83.8</v>
      </c>
      <c r="J14" s="30">
        <v>167.59</v>
      </c>
      <c r="K14" s="30">
        <v>206</v>
      </c>
      <c r="L14" s="8">
        <f>J14-K14</f>
        <v>-38.409999999999997</v>
      </c>
      <c r="M14" s="47">
        <f t="shared" si="0"/>
        <v>-38.409999999999997</v>
      </c>
    </row>
    <row r="15" spans="1:13" x14ac:dyDescent="0.3">
      <c r="A15" s="5" t="s">
        <v>54</v>
      </c>
      <c r="B15" s="6" t="s">
        <v>27</v>
      </c>
      <c r="C15" s="6">
        <v>937817</v>
      </c>
      <c r="D15" s="6">
        <v>2022</v>
      </c>
      <c r="E15" s="18" t="s">
        <v>67</v>
      </c>
      <c r="F15" s="18" t="s">
        <v>103</v>
      </c>
      <c r="G15" s="6" t="s">
        <v>540</v>
      </c>
      <c r="H15" s="6" t="s">
        <v>126</v>
      </c>
      <c r="I15" s="7">
        <v>166.63</v>
      </c>
      <c r="J15" s="7">
        <v>1666.3</v>
      </c>
      <c r="K15" s="7">
        <v>1001.28</v>
      </c>
      <c r="L15" s="8">
        <f t="shared" ref="L15:L60" si="1">J15-K15</f>
        <v>665.02</v>
      </c>
      <c r="M15" s="47">
        <f t="shared" si="0"/>
        <v>665.02</v>
      </c>
    </row>
    <row r="16" spans="1:13" x14ac:dyDescent="0.3">
      <c r="A16" s="17" t="s">
        <v>54</v>
      </c>
      <c r="B16" s="18" t="s">
        <v>27</v>
      </c>
      <c r="C16" s="18">
        <v>937817</v>
      </c>
      <c r="D16" s="18">
        <v>2022</v>
      </c>
      <c r="E16" s="18" t="s">
        <v>67</v>
      </c>
      <c r="F16" s="18" t="s">
        <v>103</v>
      </c>
      <c r="G16" s="18" t="s">
        <v>541</v>
      </c>
      <c r="H16" s="18" t="s">
        <v>527</v>
      </c>
      <c r="I16" s="30">
        <v>62.46</v>
      </c>
      <c r="J16" s="30">
        <v>2810.7</v>
      </c>
      <c r="K16" s="30"/>
      <c r="L16" s="8">
        <f t="shared" si="1"/>
        <v>2810.7</v>
      </c>
      <c r="M16" s="47">
        <f t="shared" si="0"/>
        <v>0</v>
      </c>
    </row>
    <row r="17" spans="1:13" x14ac:dyDescent="0.3">
      <c r="A17" s="5" t="s">
        <v>54</v>
      </c>
      <c r="B17" s="6" t="s">
        <v>27</v>
      </c>
      <c r="C17" s="6">
        <v>937817</v>
      </c>
      <c r="D17" s="6">
        <v>2022</v>
      </c>
      <c r="E17" s="18" t="s">
        <v>67</v>
      </c>
      <c r="F17" s="18" t="s">
        <v>103</v>
      </c>
      <c r="G17" s="6" t="s">
        <v>542</v>
      </c>
      <c r="H17" s="6" t="s">
        <v>215</v>
      </c>
      <c r="I17" s="7">
        <v>584.42999999999995</v>
      </c>
      <c r="J17" s="7">
        <v>23377.33</v>
      </c>
      <c r="K17" s="7">
        <v>7150</v>
      </c>
      <c r="L17" s="8">
        <f t="shared" si="1"/>
        <v>16227.330000000002</v>
      </c>
      <c r="M17" s="47">
        <f t="shared" si="0"/>
        <v>16227.330000000002</v>
      </c>
    </row>
    <row r="18" spans="1:13" x14ac:dyDescent="0.3">
      <c r="A18" s="17" t="s">
        <v>54</v>
      </c>
      <c r="B18" s="18" t="s">
        <v>27</v>
      </c>
      <c r="C18" s="18">
        <v>937817</v>
      </c>
      <c r="D18" s="18">
        <v>2022</v>
      </c>
      <c r="E18" s="18" t="s">
        <v>67</v>
      </c>
      <c r="F18" s="18" t="s">
        <v>103</v>
      </c>
      <c r="G18" s="18" t="s">
        <v>543</v>
      </c>
      <c r="H18" s="18" t="s">
        <v>263</v>
      </c>
      <c r="I18" s="30">
        <v>22.06</v>
      </c>
      <c r="J18" s="30">
        <v>2206</v>
      </c>
      <c r="K18" s="30"/>
      <c r="L18" s="8">
        <f t="shared" si="1"/>
        <v>2206</v>
      </c>
      <c r="M18" s="47">
        <f t="shared" si="0"/>
        <v>0</v>
      </c>
    </row>
    <row r="19" spans="1:13" x14ac:dyDescent="0.3">
      <c r="A19" s="5" t="s">
        <v>54</v>
      </c>
      <c r="B19" s="6" t="s">
        <v>27</v>
      </c>
      <c r="C19" s="6">
        <v>937817</v>
      </c>
      <c r="D19" s="6">
        <v>2022</v>
      </c>
      <c r="E19" s="18" t="s">
        <v>67</v>
      </c>
      <c r="F19" s="18" t="s">
        <v>103</v>
      </c>
      <c r="G19" s="6" t="s">
        <v>544</v>
      </c>
      <c r="H19" s="6" t="s">
        <v>216</v>
      </c>
      <c r="I19" s="7">
        <v>699</v>
      </c>
      <c r="J19" s="7">
        <v>20970</v>
      </c>
      <c r="K19" s="7"/>
      <c r="L19" s="8">
        <f t="shared" si="1"/>
        <v>20970</v>
      </c>
      <c r="M19" s="47">
        <f t="shared" si="0"/>
        <v>0</v>
      </c>
    </row>
    <row r="20" spans="1:13" x14ac:dyDescent="0.3">
      <c r="A20" s="17" t="s">
        <v>54</v>
      </c>
      <c r="B20" s="18" t="s">
        <v>27</v>
      </c>
      <c r="C20" s="18">
        <v>937817</v>
      </c>
      <c r="D20" s="18">
        <v>2022</v>
      </c>
      <c r="E20" s="18" t="s">
        <v>67</v>
      </c>
      <c r="F20" s="18" t="s">
        <v>103</v>
      </c>
      <c r="G20" s="18" t="s">
        <v>545</v>
      </c>
      <c r="H20" s="18" t="s">
        <v>137</v>
      </c>
      <c r="I20" s="30">
        <v>92.65</v>
      </c>
      <c r="J20" s="30">
        <v>277.95</v>
      </c>
      <c r="K20" s="30"/>
      <c r="L20" s="8">
        <f t="shared" si="1"/>
        <v>277.95</v>
      </c>
      <c r="M20" s="47">
        <f t="shared" si="0"/>
        <v>0</v>
      </c>
    </row>
    <row r="21" spans="1:13" x14ac:dyDescent="0.3">
      <c r="A21" s="5" t="s">
        <v>54</v>
      </c>
      <c r="B21" s="6" t="s">
        <v>27</v>
      </c>
      <c r="C21" s="6">
        <v>937817</v>
      </c>
      <c r="D21" s="6">
        <v>2022</v>
      </c>
      <c r="E21" s="18" t="s">
        <v>67</v>
      </c>
      <c r="F21" s="18" t="s">
        <v>103</v>
      </c>
      <c r="G21" s="6" t="s">
        <v>546</v>
      </c>
      <c r="H21" s="6" t="s">
        <v>215</v>
      </c>
      <c r="I21" s="7">
        <v>258.01</v>
      </c>
      <c r="J21" s="7">
        <v>10320.4</v>
      </c>
      <c r="K21" s="7">
        <v>3100</v>
      </c>
      <c r="L21" s="8">
        <f t="shared" si="1"/>
        <v>7220.4</v>
      </c>
      <c r="M21" s="47">
        <f t="shared" si="0"/>
        <v>7220.4</v>
      </c>
    </row>
    <row r="22" spans="1:13" x14ac:dyDescent="0.3">
      <c r="A22" s="17" t="s">
        <v>54</v>
      </c>
      <c r="B22" s="18" t="s">
        <v>27</v>
      </c>
      <c r="C22" s="18">
        <v>937817</v>
      </c>
      <c r="D22" s="18">
        <v>2022</v>
      </c>
      <c r="E22" s="18" t="s">
        <v>67</v>
      </c>
      <c r="F22" s="18" t="s">
        <v>110</v>
      </c>
      <c r="G22" s="18" t="s">
        <v>547</v>
      </c>
      <c r="H22" s="18" t="s">
        <v>114</v>
      </c>
      <c r="I22" s="30">
        <v>3137.95</v>
      </c>
      <c r="J22" s="30">
        <v>15689.73</v>
      </c>
      <c r="K22" s="30"/>
      <c r="L22" s="8">
        <f t="shared" si="1"/>
        <v>15689.73</v>
      </c>
      <c r="M22" s="47">
        <f t="shared" si="0"/>
        <v>0</v>
      </c>
    </row>
    <row r="23" spans="1:13" x14ac:dyDescent="0.3">
      <c r="A23" s="5" t="s">
        <v>54</v>
      </c>
      <c r="B23" s="6" t="s">
        <v>27</v>
      </c>
      <c r="C23" s="6">
        <v>937817</v>
      </c>
      <c r="D23" s="6">
        <v>2022</v>
      </c>
      <c r="E23" s="18" t="s">
        <v>67</v>
      </c>
      <c r="F23" s="18" t="s">
        <v>110</v>
      </c>
      <c r="G23" s="6" t="s">
        <v>548</v>
      </c>
      <c r="H23" s="6" t="s">
        <v>126</v>
      </c>
      <c r="I23" s="7">
        <v>2782.3</v>
      </c>
      <c r="J23" s="7">
        <v>27822.97</v>
      </c>
      <c r="K23" s="7"/>
      <c r="L23" s="8">
        <f t="shared" si="1"/>
        <v>27822.97</v>
      </c>
      <c r="M23" s="47">
        <f t="shared" si="0"/>
        <v>0</v>
      </c>
    </row>
    <row r="24" spans="1:13" x14ac:dyDescent="0.3">
      <c r="A24" s="17" t="s">
        <v>54</v>
      </c>
      <c r="B24" s="18" t="s">
        <v>27</v>
      </c>
      <c r="C24" s="18">
        <v>937817</v>
      </c>
      <c r="D24" s="18">
        <v>2022</v>
      </c>
      <c r="E24" s="18" t="s">
        <v>67</v>
      </c>
      <c r="F24" s="18" t="s">
        <v>110</v>
      </c>
      <c r="G24" s="18" t="s">
        <v>549</v>
      </c>
      <c r="H24" s="18" t="s">
        <v>133</v>
      </c>
      <c r="I24" s="30">
        <v>8641.01</v>
      </c>
      <c r="J24" s="30">
        <v>17282.02</v>
      </c>
      <c r="K24" s="30"/>
      <c r="L24" s="8">
        <f t="shared" si="1"/>
        <v>17282.02</v>
      </c>
      <c r="M24" s="47">
        <f t="shared" si="0"/>
        <v>0</v>
      </c>
    </row>
    <row r="25" spans="1:13" x14ac:dyDescent="0.3">
      <c r="A25" s="5" t="s">
        <v>54</v>
      </c>
      <c r="B25" s="6" t="s">
        <v>27</v>
      </c>
      <c r="C25" s="6">
        <v>937817</v>
      </c>
      <c r="D25" s="6">
        <v>2022</v>
      </c>
      <c r="E25" s="18" t="s">
        <v>67</v>
      </c>
      <c r="F25" s="18" t="s">
        <v>110</v>
      </c>
      <c r="G25" s="6" t="s">
        <v>550</v>
      </c>
      <c r="H25" s="6" t="s">
        <v>133</v>
      </c>
      <c r="I25" s="7">
        <v>1643</v>
      </c>
      <c r="J25" s="7">
        <v>3286</v>
      </c>
      <c r="K25" s="7"/>
      <c r="L25" s="8">
        <f t="shared" si="1"/>
        <v>3286</v>
      </c>
      <c r="M25" s="47">
        <f t="shared" si="0"/>
        <v>0</v>
      </c>
    </row>
    <row r="26" spans="1:13" x14ac:dyDescent="0.3">
      <c r="A26" s="17" t="s">
        <v>54</v>
      </c>
      <c r="B26" s="18" t="s">
        <v>27</v>
      </c>
      <c r="C26" s="18">
        <v>937817</v>
      </c>
      <c r="D26" s="18">
        <v>2022</v>
      </c>
      <c r="E26" s="18" t="s">
        <v>67</v>
      </c>
      <c r="F26" s="18" t="s">
        <v>110</v>
      </c>
      <c r="G26" s="18" t="s">
        <v>551</v>
      </c>
      <c r="H26" s="18" t="s">
        <v>112</v>
      </c>
      <c r="I26" s="30">
        <v>877.77</v>
      </c>
      <c r="J26" s="30">
        <v>3511.08</v>
      </c>
      <c r="K26" s="30"/>
      <c r="L26" s="8">
        <f t="shared" si="1"/>
        <v>3511.08</v>
      </c>
      <c r="M26" s="47">
        <f t="shared" si="0"/>
        <v>0</v>
      </c>
    </row>
    <row r="27" spans="1:13" x14ac:dyDescent="0.3">
      <c r="A27" s="5" t="s">
        <v>54</v>
      </c>
      <c r="B27" s="6" t="s">
        <v>27</v>
      </c>
      <c r="C27" s="6">
        <v>937817</v>
      </c>
      <c r="D27" s="6">
        <v>2022</v>
      </c>
      <c r="E27" s="18" t="s">
        <v>67</v>
      </c>
      <c r="F27" s="18" t="s">
        <v>110</v>
      </c>
      <c r="G27" s="6" t="s">
        <v>552</v>
      </c>
      <c r="H27" s="6" t="s">
        <v>116</v>
      </c>
      <c r="I27" s="7">
        <v>2533.9899999999998</v>
      </c>
      <c r="J27" s="7">
        <v>2533.9899999999998</v>
      </c>
      <c r="K27" s="7"/>
      <c r="L27" s="8">
        <f t="shared" si="1"/>
        <v>2533.9899999999998</v>
      </c>
      <c r="M27" s="47">
        <f t="shared" si="0"/>
        <v>0</v>
      </c>
    </row>
    <row r="28" spans="1:13" x14ac:dyDescent="0.3">
      <c r="A28" s="17" t="s">
        <v>54</v>
      </c>
      <c r="B28" s="18" t="s">
        <v>27</v>
      </c>
      <c r="C28" s="18">
        <v>937817</v>
      </c>
      <c r="D28" s="18">
        <v>2022</v>
      </c>
      <c r="E28" s="18" t="s">
        <v>67</v>
      </c>
      <c r="F28" s="18" t="s">
        <v>110</v>
      </c>
      <c r="G28" s="18" t="s">
        <v>553</v>
      </c>
      <c r="H28" s="18" t="s">
        <v>133</v>
      </c>
      <c r="I28" s="30">
        <v>2294.3000000000002</v>
      </c>
      <c r="J28" s="30">
        <v>4588.6000000000004</v>
      </c>
      <c r="K28" s="30"/>
      <c r="L28" s="8">
        <f t="shared" si="1"/>
        <v>4588.6000000000004</v>
      </c>
      <c r="M28" s="47">
        <f t="shared" si="0"/>
        <v>0</v>
      </c>
    </row>
    <row r="29" spans="1:13" x14ac:dyDescent="0.3">
      <c r="A29" s="5" t="s">
        <v>54</v>
      </c>
      <c r="B29" s="6" t="s">
        <v>27</v>
      </c>
      <c r="C29" s="6">
        <v>937817</v>
      </c>
      <c r="D29" s="6">
        <v>2022</v>
      </c>
      <c r="E29" s="18" t="s">
        <v>67</v>
      </c>
      <c r="F29" s="18" t="s">
        <v>110</v>
      </c>
      <c r="G29" s="6" t="s">
        <v>554</v>
      </c>
      <c r="H29" s="6" t="s">
        <v>244</v>
      </c>
      <c r="I29" s="7">
        <v>1098.4100000000001</v>
      </c>
      <c r="J29" s="7">
        <v>7688.87</v>
      </c>
      <c r="K29" s="7"/>
      <c r="L29" s="8">
        <f t="shared" si="1"/>
        <v>7688.87</v>
      </c>
      <c r="M29" s="47">
        <f t="shared" si="0"/>
        <v>0</v>
      </c>
    </row>
    <row r="30" spans="1:13" x14ac:dyDescent="0.3">
      <c r="A30" s="17" t="s">
        <v>54</v>
      </c>
      <c r="B30" s="18" t="s">
        <v>27</v>
      </c>
      <c r="C30" s="18">
        <v>937817</v>
      </c>
      <c r="D30" s="18">
        <v>2022</v>
      </c>
      <c r="E30" s="18" t="s">
        <v>67</v>
      </c>
      <c r="F30" s="18" t="s">
        <v>110</v>
      </c>
      <c r="G30" s="18" t="s">
        <v>555</v>
      </c>
      <c r="H30" s="18" t="s">
        <v>116</v>
      </c>
      <c r="I30" s="30">
        <v>1549.63</v>
      </c>
      <c r="J30" s="30">
        <v>1549.63</v>
      </c>
      <c r="K30" s="30">
        <v>1850.37</v>
      </c>
      <c r="L30" s="8">
        <f t="shared" si="1"/>
        <v>-300.73999999999978</v>
      </c>
      <c r="M30" s="47">
        <f t="shared" si="0"/>
        <v>-300.73999999999978</v>
      </c>
    </row>
    <row r="31" spans="1:13" x14ac:dyDescent="0.3">
      <c r="A31" s="5" t="s">
        <v>54</v>
      </c>
      <c r="B31" s="6" t="s">
        <v>27</v>
      </c>
      <c r="C31" s="6">
        <v>937817</v>
      </c>
      <c r="D31" s="6">
        <v>2022</v>
      </c>
      <c r="E31" s="18" t="s">
        <v>67</v>
      </c>
      <c r="F31" s="18" t="s">
        <v>110</v>
      </c>
      <c r="G31" s="6" t="s">
        <v>556</v>
      </c>
      <c r="H31" s="6" t="s">
        <v>557</v>
      </c>
      <c r="I31" s="7">
        <v>1069</v>
      </c>
      <c r="J31" s="7">
        <v>27794</v>
      </c>
      <c r="K31" s="7"/>
      <c r="L31" s="8">
        <f t="shared" si="1"/>
        <v>27794</v>
      </c>
      <c r="M31" s="47">
        <f t="shared" si="0"/>
        <v>0</v>
      </c>
    </row>
    <row r="32" spans="1:13" x14ac:dyDescent="0.3">
      <c r="A32" s="17" t="s">
        <v>54</v>
      </c>
      <c r="B32" s="18" t="s">
        <v>27</v>
      </c>
      <c r="C32" s="18">
        <v>937817</v>
      </c>
      <c r="D32" s="18">
        <v>2022</v>
      </c>
      <c r="E32" s="18" t="s">
        <v>67</v>
      </c>
      <c r="F32" s="18" t="s">
        <v>110</v>
      </c>
      <c r="G32" s="18" t="s">
        <v>558</v>
      </c>
      <c r="H32" s="18" t="s">
        <v>133</v>
      </c>
      <c r="I32" s="30">
        <v>5099.66</v>
      </c>
      <c r="J32" s="30">
        <v>10199.32</v>
      </c>
      <c r="K32" s="30">
        <v>8194.58</v>
      </c>
      <c r="L32" s="8">
        <f t="shared" si="1"/>
        <v>2004.7399999999998</v>
      </c>
      <c r="M32" s="47">
        <f t="shared" si="0"/>
        <v>2004.7399999999998</v>
      </c>
    </row>
    <row r="33" spans="1:13" x14ac:dyDescent="0.3">
      <c r="A33" s="5" t="s">
        <v>54</v>
      </c>
      <c r="B33" s="6" t="s">
        <v>27</v>
      </c>
      <c r="C33" s="6">
        <v>937817</v>
      </c>
      <c r="D33" s="6">
        <v>2022</v>
      </c>
      <c r="E33" s="18" t="s">
        <v>67</v>
      </c>
      <c r="F33" s="18" t="s">
        <v>110</v>
      </c>
      <c r="G33" s="6" t="s">
        <v>559</v>
      </c>
      <c r="H33" s="6" t="s">
        <v>114</v>
      </c>
      <c r="I33" s="7">
        <v>249</v>
      </c>
      <c r="J33" s="7">
        <v>1245</v>
      </c>
      <c r="K33" s="7"/>
      <c r="L33" s="8">
        <f t="shared" si="1"/>
        <v>1245</v>
      </c>
      <c r="M33" s="47">
        <f t="shared" si="0"/>
        <v>0</v>
      </c>
    </row>
    <row r="34" spans="1:13" x14ac:dyDescent="0.3">
      <c r="A34" s="17" t="s">
        <v>54</v>
      </c>
      <c r="B34" s="18" t="s">
        <v>27</v>
      </c>
      <c r="C34" s="18">
        <v>937817</v>
      </c>
      <c r="D34" s="18">
        <v>2022</v>
      </c>
      <c r="E34" s="18" t="s">
        <v>67</v>
      </c>
      <c r="F34" s="18" t="s">
        <v>110</v>
      </c>
      <c r="G34" s="18" t="s">
        <v>560</v>
      </c>
      <c r="H34" s="18" t="s">
        <v>216</v>
      </c>
      <c r="I34" s="30">
        <v>867</v>
      </c>
      <c r="J34" s="30">
        <v>26010</v>
      </c>
      <c r="K34" s="30"/>
      <c r="L34" s="8">
        <f t="shared" si="1"/>
        <v>26010</v>
      </c>
      <c r="M34" s="47">
        <f t="shared" si="0"/>
        <v>0</v>
      </c>
    </row>
    <row r="35" spans="1:13" x14ac:dyDescent="0.3">
      <c r="A35" s="5" t="s">
        <v>54</v>
      </c>
      <c r="B35" s="6" t="s">
        <v>27</v>
      </c>
      <c r="C35" s="6">
        <v>937817</v>
      </c>
      <c r="D35" s="6">
        <v>2022</v>
      </c>
      <c r="E35" s="18" t="s">
        <v>67</v>
      </c>
      <c r="F35" s="18" t="s">
        <v>110</v>
      </c>
      <c r="G35" s="6" t="s">
        <v>561</v>
      </c>
      <c r="H35" s="6" t="s">
        <v>133</v>
      </c>
      <c r="I35" s="7">
        <v>8686.33</v>
      </c>
      <c r="J35" s="7">
        <v>17372.66</v>
      </c>
      <c r="K35" s="7">
        <v>13060</v>
      </c>
      <c r="L35" s="8">
        <f t="shared" si="1"/>
        <v>4312.66</v>
      </c>
      <c r="M35" s="47">
        <f t="shared" si="0"/>
        <v>4312.66</v>
      </c>
    </row>
    <row r="36" spans="1:13" x14ac:dyDescent="0.3">
      <c r="A36" s="17" t="s">
        <v>54</v>
      </c>
      <c r="B36" s="18" t="s">
        <v>27</v>
      </c>
      <c r="C36" s="18">
        <v>937817</v>
      </c>
      <c r="D36" s="18">
        <v>2022</v>
      </c>
      <c r="E36" s="18" t="s">
        <v>67</v>
      </c>
      <c r="F36" s="18" t="s">
        <v>110</v>
      </c>
      <c r="G36" s="18" t="s">
        <v>562</v>
      </c>
      <c r="H36" s="18" t="s">
        <v>216</v>
      </c>
      <c r="I36" s="30">
        <v>81.88</v>
      </c>
      <c r="J36" s="30">
        <v>2456.4</v>
      </c>
      <c r="K36" s="30"/>
      <c r="L36" s="8">
        <f t="shared" si="1"/>
        <v>2456.4</v>
      </c>
      <c r="M36" s="47">
        <f t="shared" si="0"/>
        <v>0</v>
      </c>
    </row>
    <row r="37" spans="1:13" x14ac:dyDescent="0.3">
      <c r="A37" s="5" t="s">
        <v>54</v>
      </c>
      <c r="B37" s="6" t="s">
        <v>27</v>
      </c>
      <c r="C37" s="6">
        <v>937817</v>
      </c>
      <c r="D37" s="6">
        <v>2022</v>
      </c>
      <c r="E37" s="18" t="s">
        <v>67</v>
      </c>
      <c r="F37" s="18" t="s">
        <v>110</v>
      </c>
      <c r="G37" s="6" t="s">
        <v>563</v>
      </c>
      <c r="H37" s="6" t="s">
        <v>244</v>
      </c>
      <c r="I37" s="7">
        <v>1365.31</v>
      </c>
      <c r="J37" s="7">
        <v>9557.17</v>
      </c>
      <c r="K37" s="7"/>
      <c r="L37" s="8">
        <f t="shared" si="1"/>
        <v>9557.17</v>
      </c>
      <c r="M37" s="47">
        <f t="shared" si="0"/>
        <v>0</v>
      </c>
    </row>
    <row r="38" spans="1:13" x14ac:dyDescent="0.3">
      <c r="A38" s="17" t="s">
        <v>54</v>
      </c>
      <c r="B38" s="18" t="s">
        <v>27</v>
      </c>
      <c r="C38" s="18">
        <v>937817</v>
      </c>
      <c r="D38" s="18">
        <v>2022</v>
      </c>
      <c r="E38" s="18" t="s">
        <v>67</v>
      </c>
      <c r="F38" s="18" t="s">
        <v>110</v>
      </c>
      <c r="G38" s="18" t="s">
        <v>564</v>
      </c>
      <c r="H38" s="18" t="s">
        <v>112</v>
      </c>
      <c r="I38" s="30">
        <v>1026</v>
      </c>
      <c r="J38" s="30">
        <v>4104</v>
      </c>
      <c r="K38" s="30"/>
      <c r="L38" s="8">
        <f t="shared" si="1"/>
        <v>4104</v>
      </c>
      <c r="M38" s="47">
        <f t="shared" si="0"/>
        <v>0</v>
      </c>
    </row>
    <row r="39" spans="1:13" x14ac:dyDescent="0.3">
      <c r="A39" s="5" t="s">
        <v>54</v>
      </c>
      <c r="B39" s="6" t="s">
        <v>27</v>
      </c>
      <c r="C39" s="6">
        <v>937817</v>
      </c>
      <c r="D39" s="6">
        <v>2022</v>
      </c>
      <c r="E39" s="18" t="s">
        <v>67</v>
      </c>
      <c r="F39" s="18" t="s">
        <v>110</v>
      </c>
      <c r="G39" s="6" t="s">
        <v>565</v>
      </c>
      <c r="H39" s="6" t="s">
        <v>133</v>
      </c>
      <c r="I39" s="7">
        <v>1804.1</v>
      </c>
      <c r="J39" s="7">
        <v>3608.19</v>
      </c>
      <c r="K39" s="7">
        <v>2392</v>
      </c>
      <c r="L39" s="8">
        <f t="shared" si="1"/>
        <v>1216.19</v>
      </c>
      <c r="M39" s="47">
        <f t="shared" si="0"/>
        <v>1216.19</v>
      </c>
    </row>
    <row r="40" spans="1:13" x14ac:dyDescent="0.3">
      <c r="A40" s="17" t="s">
        <v>54</v>
      </c>
      <c r="B40" s="18" t="s">
        <v>27</v>
      </c>
      <c r="C40" s="18">
        <v>937817</v>
      </c>
      <c r="D40" s="18">
        <v>2022</v>
      </c>
      <c r="E40" s="18" t="s">
        <v>67</v>
      </c>
      <c r="F40" s="18" t="s">
        <v>110</v>
      </c>
      <c r="G40" s="18" t="s">
        <v>566</v>
      </c>
      <c r="H40" s="18" t="s">
        <v>208</v>
      </c>
      <c r="I40" s="30">
        <v>1645</v>
      </c>
      <c r="J40" s="30">
        <v>59220</v>
      </c>
      <c r="K40" s="30"/>
      <c r="L40" s="8">
        <f t="shared" si="1"/>
        <v>59220</v>
      </c>
      <c r="M40" s="47">
        <f t="shared" si="0"/>
        <v>0</v>
      </c>
    </row>
    <row r="41" spans="1:13" x14ac:dyDescent="0.3">
      <c r="A41" s="5" t="s">
        <v>54</v>
      </c>
      <c r="B41" s="6" t="s">
        <v>27</v>
      </c>
      <c r="C41" s="6">
        <v>937817</v>
      </c>
      <c r="D41" s="6">
        <v>2022</v>
      </c>
      <c r="E41" s="18" t="s">
        <v>67</v>
      </c>
      <c r="F41" s="18" t="s">
        <v>110</v>
      </c>
      <c r="G41" s="6" t="s">
        <v>567</v>
      </c>
      <c r="H41" s="6" t="s">
        <v>112</v>
      </c>
      <c r="I41" s="7">
        <v>5737.91</v>
      </c>
      <c r="J41" s="7">
        <v>22951.65</v>
      </c>
      <c r="K41" s="7"/>
      <c r="L41" s="8">
        <f t="shared" si="1"/>
        <v>22951.65</v>
      </c>
      <c r="M41" s="47">
        <f t="shared" si="0"/>
        <v>0</v>
      </c>
    </row>
    <row r="42" spans="1:13" x14ac:dyDescent="0.3">
      <c r="A42" s="17" t="s">
        <v>54</v>
      </c>
      <c r="B42" s="18" t="s">
        <v>27</v>
      </c>
      <c r="C42" s="18">
        <v>937817</v>
      </c>
      <c r="D42" s="18">
        <v>2022</v>
      </c>
      <c r="E42" s="18" t="s">
        <v>67</v>
      </c>
      <c r="F42" s="18" t="s">
        <v>110</v>
      </c>
      <c r="G42" s="18" t="s">
        <v>568</v>
      </c>
      <c r="H42" s="18" t="s">
        <v>112</v>
      </c>
      <c r="I42" s="30">
        <v>2196.3000000000002</v>
      </c>
      <c r="J42" s="30">
        <v>8785.2000000000007</v>
      </c>
      <c r="K42" s="30">
        <v>23130</v>
      </c>
      <c r="L42" s="8">
        <f t="shared" si="1"/>
        <v>-14344.8</v>
      </c>
      <c r="M42" s="47">
        <f t="shared" si="0"/>
        <v>-14344.8</v>
      </c>
    </row>
    <row r="43" spans="1:13" x14ac:dyDescent="0.3">
      <c r="A43" s="5" t="s">
        <v>54</v>
      </c>
      <c r="B43" s="6" t="s">
        <v>27</v>
      </c>
      <c r="C43" s="6">
        <v>937817</v>
      </c>
      <c r="D43" s="6">
        <v>2022</v>
      </c>
      <c r="E43" s="6" t="s">
        <v>67</v>
      </c>
      <c r="F43" s="18" t="s">
        <v>110</v>
      </c>
      <c r="G43" s="6" t="s">
        <v>569</v>
      </c>
      <c r="H43" s="6" t="s">
        <v>326</v>
      </c>
      <c r="I43" s="7">
        <v>1331.37</v>
      </c>
      <c r="J43" s="7">
        <v>17307.810000000001</v>
      </c>
      <c r="K43" s="7"/>
      <c r="L43" s="8">
        <f t="shared" si="1"/>
        <v>17307.810000000001</v>
      </c>
      <c r="M43" s="47">
        <f t="shared" si="0"/>
        <v>0</v>
      </c>
    </row>
    <row r="44" spans="1:13" x14ac:dyDescent="0.3">
      <c r="A44" s="17" t="s">
        <v>54</v>
      </c>
      <c r="B44" s="18" t="s">
        <v>27</v>
      </c>
      <c r="C44" s="18">
        <v>937817</v>
      </c>
      <c r="D44" s="18">
        <v>2022</v>
      </c>
      <c r="E44" s="18" t="s">
        <v>67</v>
      </c>
      <c r="F44" s="18" t="s">
        <v>110</v>
      </c>
      <c r="G44" s="18" t="s">
        <v>570</v>
      </c>
      <c r="H44" s="18" t="s">
        <v>116</v>
      </c>
      <c r="I44" s="30">
        <v>2800</v>
      </c>
      <c r="J44" s="30">
        <v>2800</v>
      </c>
      <c r="K44" s="30"/>
      <c r="L44" s="8">
        <f t="shared" si="1"/>
        <v>2800</v>
      </c>
      <c r="M44" s="47">
        <f t="shared" si="0"/>
        <v>0</v>
      </c>
    </row>
    <row r="45" spans="1:13" x14ac:dyDescent="0.3">
      <c r="A45" s="5" t="s">
        <v>54</v>
      </c>
      <c r="B45" s="6" t="s">
        <v>27</v>
      </c>
      <c r="C45" s="6">
        <v>937817</v>
      </c>
      <c r="D45" s="6">
        <v>2022</v>
      </c>
      <c r="E45" s="18" t="s">
        <v>67</v>
      </c>
      <c r="F45" s="18" t="s">
        <v>110</v>
      </c>
      <c r="G45" s="6" t="s">
        <v>571</v>
      </c>
      <c r="H45" s="6" t="s">
        <v>112</v>
      </c>
      <c r="I45" s="7">
        <v>290.54000000000002</v>
      </c>
      <c r="J45" s="7">
        <v>1162.1600000000001</v>
      </c>
      <c r="K45" s="7">
        <v>555.44000000000005</v>
      </c>
      <c r="L45" s="8">
        <f t="shared" si="1"/>
        <v>606.72</v>
      </c>
      <c r="M45" s="47">
        <f t="shared" si="0"/>
        <v>606.72</v>
      </c>
    </row>
    <row r="46" spans="1:13" x14ac:dyDescent="0.3">
      <c r="A46" s="17" t="s">
        <v>54</v>
      </c>
      <c r="B46" s="18" t="s">
        <v>27</v>
      </c>
      <c r="C46" s="18">
        <v>937817</v>
      </c>
      <c r="D46" s="18">
        <v>2022</v>
      </c>
      <c r="E46" s="18" t="s">
        <v>67</v>
      </c>
      <c r="F46" s="18" t="s">
        <v>110</v>
      </c>
      <c r="G46" s="18" t="s">
        <v>572</v>
      </c>
      <c r="H46" s="18" t="s">
        <v>212</v>
      </c>
      <c r="I46" s="30">
        <v>701.62</v>
      </c>
      <c r="J46" s="30">
        <v>5612.96</v>
      </c>
      <c r="K46" s="30">
        <v>5350</v>
      </c>
      <c r="L46" s="8">
        <f t="shared" si="1"/>
        <v>262.96000000000004</v>
      </c>
      <c r="M46" s="47">
        <f t="shared" si="0"/>
        <v>262.96000000000004</v>
      </c>
    </row>
    <row r="47" spans="1:13" x14ac:dyDescent="0.3">
      <c r="A47" s="5" t="s">
        <v>54</v>
      </c>
      <c r="B47" s="6" t="s">
        <v>27</v>
      </c>
      <c r="C47" s="6">
        <v>937817</v>
      </c>
      <c r="D47" s="6">
        <v>2022</v>
      </c>
      <c r="E47" s="6" t="s">
        <v>65</v>
      </c>
      <c r="F47" s="18" t="s">
        <v>110</v>
      </c>
      <c r="G47" s="6" t="s">
        <v>573</v>
      </c>
      <c r="H47" s="6" t="s">
        <v>116</v>
      </c>
      <c r="I47" s="7">
        <v>323838.90000000002</v>
      </c>
      <c r="J47" s="7">
        <v>323838.90000000002</v>
      </c>
      <c r="K47" s="7"/>
      <c r="L47" s="8">
        <f t="shared" si="1"/>
        <v>323838.90000000002</v>
      </c>
      <c r="M47" s="47">
        <f t="shared" si="0"/>
        <v>0</v>
      </c>
    </row>
    <row r="48" spans="1:13" x14ac:dyDescent="0.3">
      <c r="A48" s="17" t="s">
        <v>54</v>
      </c>
      <c r="B48" s="18" t="s">
        <v>27</v>
      </c>
      <c r="C48" s="18">
        <v>937817</v>
      </c>
      <c r="D48" s="18">
        <v>2022</v>
      </c>
      <c r="E48" s="18" t="s">
        <v>67</v>
      </c>
      <c r="F48" s="18" t="s">
        <v>110</v>
      </c>
      <c r="G48" s="18" t="s">
        <v>574</v>
      </c>
      <c r="H48" s="18" t="s">
        <v>112</v>
      </c>
      <c r="I48" s="30">
        <v>8909.06</v>
      </c>
      <c r="J48" s="30">
        <v>35636.239999999998</v>
      </c>
      <c r="K48" s="30">
        <v>19599</v>
      </c>
      <c r="L48" s="8">
        <f t="shared" si="1"/>
        <v>16037.239999999998</v>
      </c>
      <c r="M48" s="47">
        <f t="shared" si="0"/>
        <v>16037.239999999998</v>
      </c>
    </row>
    <row r="49" spans="1:13" x14ac:dyDescent="0.3">
      <c r="A49" s="5" t="s">
        <v>54</v>
      </c>
      <c r="B49" s="6" t="s">
        <v>27</v>
      </c>
      <c r="C49" s="6">
        <v>937817</v>
      </c>
      <c r="D49" s="6">
        <v>2022</v>
      </c>
      <c r="E49" s="6" t="s">
        <v>66</v>
      </c>
      <c r="F49" s="18" t="s">
        <v>110</v>
      </c>
      <c r="G49" s="6" t="s">
        <v>575</v>
      </c>
      <c r="H49" s="6" t="s">
        <v>133</v>
      </c>
      <c r="I49" s="7">
        <v>300895.40000000002</v>
      </c>
      <c r="J49" s="7">
        <v>601790.9</v>
      </c>
      <c r="K49" s="7"/>
      <c r="L49" s="8">
        <f t="shared" si="1"/>
        <v>601790.9</v>
      </c>
      <c r="M49" s="47">
        <f t="shared" si="0"/>
        <v>0</v>
      </c>
    </row>
    <row r="50" spans="1:13" x14ac:dyDescent="0.3">
      <c r="A50" s="17" t="s">
        <v>54</v>
      </c>
      <c r="B50" s="18" t="s">
        <v>27</v>
      </c>
      <c r="C50" s="18">
        <v>937817</v>
      </c>
      <c r="D50" s="18">
        <v>2022</v>
      </c>
      <c r="E50" s="18" t="s">
        <v>67</v>
      </c>
      <c r="F50" s="18" t="s">
        <v>110</v>
      </c>
      <c r="G50" s="18" t="s">
        <v>576</v>
      </c>
      <c r="H50" s="18" t="s">
        <v>116</v>
      </c>
      <c r="I50" s="30">
        <v>1024.55</v>
      </c>
      <c r="J50" s="30">
        <v>1024.55</v>
      </c>
      <c r="K50" s="30"/>
      <c r="L50" s="8">
        <f t="shared" si="1"/>
        <v>1024.55</v>
      </c>
      <c r="M50" s="47">
        <f t="shared" si="0"/>
        <v>0</v>
      </c>
    </row>
    <row r="51" spans="1:13" x14ac:dyDescent="0.3">
      <c r="A51" s="5" t="s">
        <v>54</v>
      </c>
      <c r="B51" s="6" t="s">
        <v>27</v>
      </c>
      <c r="C51" s="6">
        <v>937817</v>
      </c>
      <c r="D51" s="6">
        <v>2022</v>
      </c>
      <c r="E51" s="18" t="s">
        <v>67</v>
      </c>
      <c r="F51" s="18" t="s">
        <v>110</v>
      </c>
      <c r="G51" s="6" t="s">
        <v>577</v>
      </c>
      <c r="H51" s="6" t="s">
        <v>137</v>
      </c>
      <c r="I51" s="7">
        <v>20765.669999999998</v>
      </c>
      <c r="J51" s="7">
        <v>62297</v>
      </c>
      <c r="K51" s="7">
        <v>8499</v>
      </c>
      <c r="L51" s="8">
        <f t="shared" si="1"/>
        <v>53798</v>
      </c>
      <c r="M51" s="47">
        <f t="shared" si="0"/>
        <v>53798</v>
      </c>
    </row>
    <row r="52" spans="1:13" x14ac:dyDescent="0.3">
      <c r="A52" s="17" t="s">
        <v>54</v>
      </c>
      <c r="B52" s="18" t="s">
        <v>27</v>
      </c>
      <c r="C52" s="18">
        <v>937817</v>
      </c>
      <c r="D52" s="18">
        <v>2022</v>
      </c>
      <c r="E52" s="18" t="s">
        <v>67</v>
      </c>
      <c r="F52" s="18" t="s">
        <v>110</v>
      </c>
      <c r="G52" s="18" t="s">
        <v>578</v>
      </c>
      <c r="H52" s="18" t="s">
        <v>112</v>
      </c>
      <c r="I52" s="30">
        <v>584.76</v>
      </c>
      <c r="J52" s="30">
        <v>2339.04</v>
      </c>
      <c r="K52" s="30">
        <v>555.44000000000005</v>
      </c>
      <c r="L52" s="8">
        <f t="shared" si="1"/>
        <v>1783.6</v>
      </c>
      <c r="M52" s="47">
        <f t="shared" si="0"/>
        <v>1783.6</v>
      </c>
    </row>
    <row r="53" spans="1:13" x14ac:dyDescent="0.3">
      <c r="A53" s="17" t="s">
        <v>54</v>
      </c>
      <c r="B53" s="18" t="s">
        <v>27</v>
      </c>
      <c r="C53" s="18">
        <v>937817</v>
      </c>
      <c r="D53" s="18">
        <v>2022</v>
      </c>
      <c r="E53" s="18" t="s">
        <v>67</v>
      </c>
      <c r="F53" s="18" t="s">
        <v>110</v>
      </c>
      <c r="G53" s="18" t="s">
        <v>579</v>
      </c>
      <c r="H53" s="18">
        <v>1</v>
      </c>
      <c r="I53" s="30">
        <v>101341.43</v>
      </c>
      <c r="J53" s="30">
        <v>101341.43</v>
      </c>
      <c r="K53" s="30">
        <v>14780.1</v>
      </c>
      <c r="L53" s="8">
        <f t="shared" si="1"/>
        <v>86561.329999999987</v>
      </c>
      <c r="M53" s="47" t="s">
        <v>89</v>
      </c>
    </row>
    <row r="54" spans="1:13" x14ac:dyDescent="0.3">
      <c r="A54" s="5" t="s">
        <v>54</v>
      </c>
      <c r="B54" s="6" t="s">
        <v>27</v>
      </c>
      <c r="C54" s="6">
        <v>937817</v>
      </c>
      <c r="D54" s="6">
        <v>2022</v>
      </c>
      <c r="E54" s="18" t="s">
        <v>134</v>
      </c>
      <c r="F54" s="18" t="s">
        <v>110</v>
      </c>
      <c r="G54" s="6" t="s">
        <v>580</v>
      </c>
      <c r="H54" s="6" t="s">
        <v>116</v>
      </c>
      <c r="I54" s="7">
        <v>183.4</v>
      </c>
      <c r="J54" s="7">
        <v>183.4</v>
      </c>
      <c r="K54" s="7">
        <v>0</v>
      </c>
      <c r="L54" s="8">
        <f t="shared" si="1"/>
        <v>183.4</v>
      </c>
      <c r="M54" s="47">
        <f t="shared" si="0"/>
        <v>183.4</v>
      </c>
    </row>
    <row r="55" spans="1:13" x14ac:dyDescent="0.3">
      <c r="A55" s="17" t="s">
        <v>54</v>
      </c>
      <c r="B55" s="18" t="s">
        <v>27</v>
      </c>
      <c r="C55" s="18">
        <v>937817</v>
      </c>
      <c r="D55" s="18">
        <v>2022</v>
      </c>
      <c r="E55" s="18" t="s">
        <v>67</v>
      </c>
      <c r="F55" s="18" t="s">
        <v>110</v>
      </c>
      <c r="G55" s="18" t="s">
        <v>581</v>
      </c>
      <c r="H55" s="18" t="s">
        <v>112</v>
      </c>
      <c r="I55" s="30">
        <v>1959.25</v>
      </c>
      <c r="J55" s="30">
        <v>7837</v>
      </c>
      <c r="K55" s="30"/>
      <c r="L55" s="8">
        <f t="shared" si="1"/>
        <v>7837</v>
      </c>
      <c r="M55" s="47">
        <f t="shared" si="0"/>
        <v>0</v>
      </c>
    </row>
    <row r="56" spans="1:13" x14ac:dyDescent="0.3">
      <c r="A56" s="5" t="s">
        <v>54</v>
      </c>
      <c r="B56" s="6" t="s">
        <v>27</v>
      </c>
      <c r="C56" s="6">
        <v>937817</v>
      </c>
      <c r="D56" s="6">
        <v>2022</v>
      </c>
      <c r="E56" s="18" t="s">
        <v>67</v>
      </c>
      <c r="F56" s="18" t="s">
        <v>110</v>
      </c>
      <c r="G56" s="6" t="s">
        <v>582</v>
      </c>
      <c r="H56" s="6" t="s">
        <v>160</v>
      </c>
      <c r="I56" s="7">
        <v>209.63</v>
      </c>
      <c r="J56" s="7">
        <v>2515.52</v>
      </c>
      <c r="K56" s="7">
        <v>1812</v>
      </c>
      <c r="L56" s="8">
        <f t="shared" si="1"/>
        <v>703.52</v>
      </c>
      <c r="M56" s="47">
        <f t="shared" si="0"/>
        <v>703.52</v>
      </c>
    </row>
    <row r="57" spans="1:13" x14ac:dyDescent="0.3">
      <c r="A57" s="17" t="s">
        <v>54</v>
      </c>
      <c r="B57" s="18" t="s">
        <v>27</v>
      </c>
      <c r="C57" s="18">
        <v>937817</v>
      </c>
      <c r="D57" s="18">
        <v>2022</v>
      </c>
      <c r="E57" s="18" t="s">
        <v>67</v>
      </c>
      <c r="F57" s="18" t="s">
        <v>110</v>
      </c>
      <c r="G57" s="18" t="s">
        <v>583</v>
      </c>
      <c r="H57" s="18" t="s">
        <v>114</v>
      </c>
      <c r="I57" s="30">
        <v>253.07</v>
      </c>
      <c r="J57" s="30">
        <v>1265.33</v>
      </c>
      <c r="K57" s="30">
        <v>1500</v>
      </c>
      <c r="L57" s="8">
        <f t="shared" si="1"/>
        <v>-234.67000000000007</v>
      </c>
      <c r="M57" s="47">
        <f t="shared" si="0"/>
        <v>-234.67000000000007</v>
      </c>
    </row>
    <row r="58" spans="1:13" x14ac:dyDescent="0.3">
      <c r="A58" s="5" t="s">
        <v>54</v>
      </c>
      <c r="B58" s="6" t="s">
        <v>27</v>
      </c>
      <c r="C58" s="6">
        <v>937817</v>
      </c>
      <c r="D58" s="6">
        <v>2022</v>
      </c>
      <c r="E58" s="18" t="s">
        <v>67</v>
      </c>
      <c r="F58" s="18" t="s">
        <v>110</v>
      </c>
      <c r="G58" s="6" t="s">
        <v>584</v>
      </c>
      <c r="H58" s="6" t="s">
        <v>133</v>
      </c>
      <c r="I58" s="7">
        <v>1934.19</v>
      </c>
      <c r="J58" s="7">
        <v>3868.38</v>
      </c>
      <c r="K58" s="7">
        <v>2000</v>
      </c>
      <c r="L58" s="8">
        <f t="shared" si="1"/>
        <v>1868.38</v>
      </c>
      <c r="M58" s="47">
        <f t="shared" si="0"/>
        <v>1868.38</v>
      </c>
    </row>
    <row r="59" spans="1:13" x14ac:dyDescent="0.3">
      <c r="A59" s="17" t="s">
        <v>54</v>
      </c>
      <c r="B59" s="18" t="s">
        <v>27</v>
      </c>
      <c r="C59" s="18">
        <v>937817</v>
      </c>
      <c r="D59" s="18">
        <v>2022</v>
      </c>
      <c r="E59" s="18" t="s">
        <v>67</v>
      </c>
      <c r="F59" s="18" t="s">
        <v>110</v>
      </c>
      <c r="G59" s="18" t="s">
        <v>585</v>
      </c>
      <c r="H59" s="18" t="s">
        <v>114</v>
      </c>
      <c r="I59" s="30">
        <v>2706.66</v>
      </c>
      <c r="J59" s="30">
        <v>13533.3</v>
      </c>
      <c r="K59" s="30">
        <v>11650</v>
      </c>
      <c r="L59" s="8">
        <f t="shared" si="1"/>
        <v>1883.2999999999993</v>
      </c>
      <c r="M59" s="47">
        <f t="shared" si="0"/>
        <v>1883.2999999999993</v>
      </c>
    </row>
    <row r="60" spans="1:13" x14ac:dyDescent="0.3">
      <c r="A60" s="5" t="s">
        <v>54</v>
      </c>
      <c r="B60" s="6" t="s">
        <v>27</v>
      </c>
      <c r="C60" s="6">
        <v>937817</v>
      </c>
      <c r="D60" s="6">
        <v>2022</v>
      </c>
      <c r="E60" s="18" t="s">
        <v>67</v>
      </c>
      <c r="F60" s="18" t="s">
        <v>110</v>
      </c>
      <c r="G60" s="6" t="s">
        <v>586</v>
      </c>
      <c r="H60" s="6" t="s">
        <v>126</v>
      </c>
      <c r="I60" s="7">
        <v>177.55</v>
      </c>
      <c r="J60" s="7">
        <v>1775.47</v>
      </c>
      <c r="K60" s="7">
        <v>2388</v>
      </c>
      <c r="L60" s="8">
        <f t="shared" si="1"/>
        <v>-612.53</v>
      </c>
      <c r="M60" s="47">
        <f t="shared" si="0"/>
        <v>-612.53</v>
      </c>
    </row>
    <row r="61" spans="1:13" x14ac:dyDescent="0.3">
      <c r="A61" s="17"/>
      <c r="B61" s="18"/>
      <c r="C61" s="18"/>
      <c r="D61" s="18"/>
      <c r="E61" s="18"/>
      <c r="F61" s="18"/>
      <c r="G61" s="18"/>
      <c r="H61" s="18"/>
      <c r="I61" s="30"/>
      <c r="J61" s="30"/>
      <c r="K61" s="30"/>
      <c r="L61" s="31"/>
    </row>
    <row r="62" spans="1:13" x14ac:dyDescent="0.3">
      <c r="A62" s="5"/>
      <c r="B62" s="6"/>
      <c r="C62" s="6"/>
      <c r="D62" s="6"/>
      <c r="E62" s="6"/>
      <c r="F62" s="6"/>
      <c r="G62" s="6"/>
      <c r="H62" s="6"/>
      <c r="I62" s="7"/>
      <c r="J62" s="7"/>
      <c r="K62" s="7"/>
      <c r="L62" s="8"/>
    </row>
    <row r="63" spans="1:13" x14ac:dyDescent="0.3">
      <c r="A63" s="17"/>
      <c r="B63" s="18"/>
      <c r="C63" s="18"/>
      <c r="D63" s="18"/>
      <c r="E63" s="18"/>
      <c r="F63" s="18"/>
      <c r="G63" s="18"/>
      <c r="H63" s="18"/>
      <c r="I63" s="30"/>
      <c r="J63" s="30"/>
      <c r="K63" s="30"/>
      <c r="L63" s="31"/>
    </row>
  </sheetData>
  <autoFilter ref="A1:L60" xr:uid="{F668D517-0EA8-4538-BB96-E50BAA0D6698}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10-98D6-41A0-97E8-7BFE177B1FB1}">
  <dimension ref="A1:M41"/>
  <sheetViews>
    <sheetView zoomScale="70" zoomScaleNormal="70" workbookViewId="0">
      <selection activeCell="O26" sqref="O2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23.19921875" customWidth="1"/>
  </cols>
  <sheetData>
    <row r="1" spans="1:13" x14ac:dyDescent="0.3">
      <c r="A1" s="9" t="s">
        <v>0</v>
      </c>
      <c r="B1" s="10" t="s">
        <v>1</v>
      </c>
      <c r="C1" s="10" t="s">
        <v>2</v>
      </c>
      <c r="D1" s="10" t="s">
        <v>3</v>
      </c>
      <c r="E1" s="27" t="s">
        <v>94</v>
      </c>
      <c r="F1" s="27" t="s">
        <v>95</v>
      </c>
      <c r="G1" s="27" t="s">
        <v>96</v>
      </c>
      <c r="H1" s="27" t="s">
        <v>97</v>
      </c>
      <c r="I1" s="28" t="s">
        <v>98</v>
      </c>
      <c r="J1" s="28" t="s">
        <v>99</v>
      </c>
      <c r="K1" s="28" t="s">
        <v>100</v>
      </c>
      <c r="L1" s="28" t="s">
        <v>101</v>
      </c>
      <c r="M1" s="56" t="s">
        <v>102</v>
      </c>
    </row>
    <row r="2" spans="1:13" x14ac:dyDescent="0.3">
      <c r="A2" s="17" t="s">
        <v>56</v>
      </c>
      <c r="B2" s="18" t="s">
        <v>27</v>
      </c>
      <c r="C2" s="18">
        <v>937221</v>
      </c>
      <c r="D2" s="18">
        <v>2022</v>
      </c>
      <c r="E2" s="18" t="s">
        <v>67</v>
      </c>
      <c r="F2" s="18" t="s">
        <v>103</v>
      </c>
      <c r="G2" s="18" t="s">
        <v>587</v>
      </c>
      <c r="H2" s="18" t="s">
        <v>116</v>
      </c>
      <c r="I2" s="30">
        <v>42900</v>
      </c>
      <c r="J2" s="30">
        <v>42900</v>
      </c>
      <c r="K2" s="30"/>
      <c r="L2" s="30">
        <v>42900</v>
      </c>
      <c r="M2" s="57">
        <f>IF(E2="N/A", J2, IF(OR(K2=0, ISBLANK(K2), K2=""), 0, J2-K2))</f>
        <v>0</v>
      </c>
    </row>
    <row r="3" spans="1:13" x14ac:dyDescent="0.3">
      <c r="A3" s="5" t="s">
        <v>56</v>
      </c>
      <c r="B3" s="6" t="s">
        <v>27</v>
      </c>
      <c r="C3" s="6">
        <v>937221</v>
      </c>
      <c r="D3" s="6">
        <v>2022</v>
      </c>
      <c r="E3" s="6" t="s">
        <v>65</v>
      </c>
      <c r="F3" s="6" t="s">
        <v>110</v>
      </c>
      <c r="G3" s="6" t="s">
        <v>588</v>
      </c>
      <c r="H3" s="6" t="s">
        <v>116</v>
      </c>
      <c r="I3" s="7">
        <v>1349.62</v>
      </c>
      <c r="J3" s="7">
        <v>1349.62</v>
      </c>
      <c r="K3" s="7"/>
      <c r="L3" s="7">
        <v>1349.62</v>
      </c>
      <c r="M3" s="58">
        <f t="shared" ref="M3:M34" si="0">IF(E3="N/A", J3, IF(OR(K3=0, ISBLANK(K3), K3=""), 0, J3-K3))</f>
        <v>0</v>
      </c>
    </row>
    <row r="4" spans="1:13" x14ac:dyDescent="0.3">
      <c r="A4" s="17" t="s">
        <v>56</v>
      </c>
      <c r="B4" s="18" t="s">
        <v>27</v>
      </c>
      <c r="C4" s="18">
        <v>937221</v>
      </c>
      <c r="D4" s="18">
        <v>2022</v>
      </c>
      <c r="E4" s="18" t="s">
        <v>67</v>
      </c>
      <c r="F4" s="18" t="s">
        <v>110</v>
      </c>
      <c r="G4" s="18" t="s">
        <v>589</v>
      </c>
      <c r="H4" s="18" t="s">
        <v>133</v>
      </c>
      <c r="I4" s="30">
        <v>2783.72</v>
      </c>
      <c r="J4" s="30">
        <v>5567.44</v>
      </c>
      <c r="K4" s="30"/>
      <c r="L4" s="30">
        <v>5567.44</v>
      </c>
      <c r="M4" s="57">
        <f t="shared" si="0"/>
        <v>0</v>
      </c>
    </row>
    <row r="5" spans="1:13" x14ac:dyDescent="0.3">
      <c r="A5" s="5" t="s">
        <v>56</v>
      </c>
      <c r="B5" s="6" t="s">
        <v>27</v>
      </c>
      <c r="C5" s="6">
        <v>937221</v>
      </c>
      <c r="D5" s="6">
        <v>2022</v>
      </c>
      <c r="E5" s="6" t="s">
        <v>66</v>
      </c>
      <c r="F5" s="6" t="s">
        <v>110</v>
      </c>
      <c r="G5" s="6" t="s">
        <v>590</v>
      </c>
      <c r="H5" s="6" t="s">
        <v>133</v>
      </c>
      <c r="I5" s="7">
        <v>6368.24</v>
      </c>
      <c r="J5" s="7">
        <v>12736.48</v>
      </c>
      <c r="K5" s="7"/>
      <c r="L5" s="7">
        <v>12736.48</v>
      </c>
      <c r="M5" s="58">
        <f t="shared" si="0"/>
        <v>0</v>
      </c>
    </row>
    <row r="6" spans="1:13" x14ac:dyDescent="0.3">
      <c r="A6" s="17" t="s">
        <v>56</v>
      </c>
      <c r="B6" s="18" t="s">
        <v>27</v>
      </c>
      <c r="C6" s="18">
        <v>937221</v>
      </c>
      <c r="D6" s="18">
        <v>2022</v>
      </c>
      <c r="E6" s="18" t="s">
        <v>67</v>
      </c>
      <c r="F6" s="18" t="s">
        <v>110</v>
      </c>
      <c r="G6" s="18" t="s">
        <v>591</v>
      </c>
      <c r="H6" s="18" t="s">
        <v>116</v>
      </c>
      <c r="I6" s="30">
        <v>8168.19</v>
      </c>
      <c r="J6" s="30">
        <v>8168.19</v>
      </c>
      <c r="K6" s="30"/>
      <c r="L6" s="30">
        <v>8168.19</v>
      </c>
      <c r="M6" s="57">
        <f t="shared" si="0"/>
        <v>0</v>
      </c>
    </row>
    <row r="7" spans="1:13" x14ac:dyDescent="0.3">
      <c r="A7" s="5" t="s">
        <v>56</v>
      </c>
      <c r="B7" s="6" t="s">
        <v>27</v>
      </c>
      <c r="C7" s="6">
        <v>937221</v>
      </c>
      <c r="D7" s="6">
        <v>2022</v>
      </c>
      <c r="E7" s="6" t="s">
        <v>65</v>
      </c>
      <c r="F7" s="6" t="s">
        <v>110</v>
      </c>
      <c r="G7" s="6" t="s">
        <v>592</v>
      </c>
      <c r="H7" s="6" t="s">
        <v>116</v>
      </c>
      <c r="I7" s="7">
        <v>703.26</v>
      </c>
      <c r="J7" s="7">
        <v>703.26</v>
      </c>
      <c r="K7" s="7"/>
      <c r="L7" s="7">
        <v>703.26</v>
      </c>
      <c r="M7" s="58">
        <f t="shared" si="0"/>
        <v>0</v>
      </c>
    </row>
    <row r="8" spans="1:13" x14ac:dyDescent="0.3">
      <c r="A8" s="17" t="s">
        <v>56</v>
      </c>
      <c r="B8" s="18" t="s">
        <v>27</v>
      </c>
      <c r="C8" s="18">
        <v>937221</v>
      </c>
      <c r="D8" s="18">
        <v>2022</v>
      </c>
      <c r="E8" s="18" t="s">
        <v>65</v>
      </c>
      <c r="F8" s="18" t="s">
        <v>110</v>
      </c>
      <c r="G8" s="18" t="s">
        <v>593</v>
      </c>
      <c r="H8" s="18" t="s">
        <v>112</v>
      </c>
      <c r="I8" s="30">
        <v>145.59</v>
      </c>
      <c r="J8" s="30">
        <v>582.36</v>
      </c>
      <c r="K8" s="30"/>
      <c r="L8" s="30">
        <v>582.36</v>
      </c>
      <c r="M8" s="57">
        <f t="shared" si="0"/>
        <v>0</v>
      </c>
    </row>
    <row r="9" spans="1:13" x14ac:dyDescent="0.3">
      <c r="A9" s="5" t="s">
        <v>56</v>
      </c>
      <c r="B9" s="6" t="s">
        <v>27</v>
      </c>
      <c r="C9" s="6">
        <v>937221</v>
      </c>
      <c r="D9" s="6">
        <v>2022</v>
      </c>
      <c r="E9" s="6" t="s">
        <v>65</v>
      </c>
      <c r="F9" s="6" t="s">
        <v>110</v>
      </c>
      <c r="G9" s="6" t="s">
        <v>594</v>
      </c>
      <c r="H9" s="6" t="s">
        <v>116</v>
      </c>
      <c r="I9" s="7">
        <v>844.06</v>
      </c>
      <c r="J9" s="7">
        <v>844.06</v>
      </c>
      <c r="K9" s="7"/>
      <c r="L9" s="7">
        <v>844.06</v>
      </c>
      <c r="M9" s="58">
        <f t="shared" si="0"/>
        <v>0</v>
      </c>
    </row>
    <row r="10" spans="1:13" x14ac:dyDescent="0.3">
      <c r="A10" s="17" t="s">
        <v>56</v>
      </c>
      <c r="B10" s="18" t="s">
        <v>27</v>
      </c>
      <c r="C10" s="18">
        <v>937221</v>
      </c>
      <c r="D10" s="18">
        <v>2022</v>
      </c>
      <c r="E10" s="18" t="s">
        <v>65</v>
      </c>
      <c r="F10" s="18" t="s">
        <v>110</v>
      </c>
      <c r="G10" s="18" t="s">
        <v>595</v>
      </c>
      <c r="H10" s="18" t="s">
        <v>116</v>
      </c>
      <c r="I10" s="30">
        <v>1455.49</v>
      </c>
      <c r="J10" s="30">
        <v>1455.49</v>
      </c>
      <c r="K10" s="30"/>
      <c r="L10" s="30">
        <v>1455.49</v>
      </c>
      <c r="M10" s="57">
        <f t="shared" si="0"/>
        <v>0</v>
      </c>
    </row>
    <row r="11" spans="1:13" x14ac:dyDescent="0.3">
      <c r="A11" s="5" t="s">
        <v>56</v>
      </c>
      <c r="B11" s="6" t="s">
        <v>27</v>
      </c>
      <c r="C11" s="6">
        <v>937221</v>
      </c>
      <c r="D11" s="6">
        <v>2022</v>
      </c>
      <c r="E11" s="6" t="s">
        <v>65</v>
      </c>
      <c r="F11" s="6" t="s">
        <v>110</v>
      </c>
      <c r="G11" s="6" t="s">
        <v>596</v>
      </c>
      <c r="H11" s="6" t="s">
        <v>116</v>
      </c>
      <c r="I11" s="7">
        <v>482.36</v>
      </c>
      <c r="J11" s="7">
        <v>482.36</v>
      </c>
      <c r="K11" s="7"/>
      <c r="L11" s="7">
        <v>482.36</v>
      </c>
      <c r="M11" s="58">
        <f t="shared" si="0"/>
        <v>0</v>
      </c>
    </row>
    <row r="12" spans="1:13" x14ac:dyDescent="0.3">
      <c r="A12" s="17" t="s">
        <v>56</v>
      </c>
      <c r="B12" s="18" t="s">
        <v>27</v>
      </c>
      <c r="C12" s="18">
        <v>937221</v>
      </c>
      <c r="D12" s="18">
        <v>2022</v>
      </c>
      <c r="E12" s="18" t="s">
        <v>67</v>
      </c>
      <c r="F12" s="18" t="s">
        <v>110</v>
      </c>
      <c r="G12" s="18" t="s">
        <v>597</v>
      </c>
      <c r="H12" s="18" t="s">
        <v>116</v>
      </c>
      <c r="I12" s="30">
        <v>726</v>
      </c>
      <c r="J12" s="30">
        <v>726</v>
      </c>
      <c r="K12" s="30"/>
      <c r="L12" s="30">
        <v>726</v>
      </c>
      <c r="M12" s="57">
        <f t="shared" si="0"/>
        <v>0</v>
      </c>
    </row>
    <row r="13" spans="1:13" x14ac:dyDescent="0.3">
      <c r="A13" s="5" t="s">
        <v>56</v>
      </c>
      <c r="B13" s="6" t="s">
        <v>27</v>
      </c>
      <c r="C13" s="6">
        <v>937221</v>
      </c>
      <c r="D13" s="6">
        <v>2022</v>
      </c>
      <c r="E13" s="6" t="s">
        <v>65</v>
      </c>
      <c r="F13" s="6" t="s">
        <v>110</v>
      </c>
      <c r="G13" s="6" t="s">
        <v>598</v>
      </c>
      <c r="H13" s="6" t="s">
        <v>116</v>
      </c>
      <c r="I13" s="7">
        <v>4438.1400000000003</v>
      </c>
      <c r="J13" s="7">
        <v>4438.1400000000003</v>
      </c>
      <c r="K13" s="7"/>
      <c r="L13" s="7">
        <v>4438.1400000000003</v>
      </c>
      <c r="M13" s="58">
        <f t="shared" si="0"/>
        <v>0</v>
      </c>
    </row>
    <row r="14" spans="1:13" x14ac:dyDescent="0.3">
      <c r="A14" s="17" t="s">
        <v>56</v>
      </c>
      <c r="B14" s="18" t="s">
        <v>27</v>
      </c>
      <c r="C14" s="18">
        <v>937221</v>
      </c>
      <c r="D14" s="18">
        <v>2022</v>
      </c>
      <c r="E14" s="18" t="s">
        <v>65</v>
      </c>
      <c r="F14" s="18" t="s">
        <v>110</v>
      </c>
      <c r="G14" s="18" t="s">
        <v>599</v>
      </c>
      <c r="H14" s="18" t="s">
        <v>133</v>
      </c>
      <c r="I14" s="30">
        <v>929.63</v>
      </c>
      <c r="J14" s="30">
        <v>1859.26</v>
      </c>
      <c r="K14" s="30"/>
      <c r="L14" s="30">
        <v>1859.26</v>
      </c>
      <c r="M14" s="57">
        <f t="shared" si="0"/>
        <v>0</v>
      </c>
    </row>
    <row r="15" spans="1:13" x14ac:dyDescent="0.3">
      <c r="A15" s="5" t="s">
        <v>56</v>
      </c>
      <c r="B15" s="6" t="s">
        <v>27</v>
      </c>
      <c r="C15" s="6">
        <v>937221</v>
      </c>
      <c r="D15" s="6">
        <v>2022</v>
      </c>
      <c r="E15" s="6" t="s">
        <v>67</v>
      </c>
      <c r="F15" s="6" t="s">
        <v>110</v>
      </c>
      <c r="G15" s="6" t="s">
        <v>600</v>
      </c>
      <c r="H15" s="6" t="s">
        <v>116</v>
      </c>
      <c r="I15" s="7">
        <v>3490.71</v>
      </c>
      <c r="J15" s="7">
        <v>3490.71</v>
      </c>
      <c r="K15" s="7"/>
      <c r="L15" s="7">
        <v>3490.71</v>
      </c>
      <c r="M15" s="58">
        <f t="shared" si="0"/>
        <v>0</v>
      </c>
    </row>
    <row r="16" spans="1:13" x14ac:dyDescent="0.3">
      <c r="A16" s="17" t="s">
        <v>56</v>
      </c>
      <c r="B16" s="18" t="s">
        <v>27</v>
      </c>
      <c r="C16" s="18">
        <v>937221</v>
      </c>
      <c r="D16" s="18">
        <v>2022</v>
      </c>
      <c r="E16" s="18" t="s">
        <v>65</v>
      </c>
      <c r="F16" s="18" t="s">
        <v>110</v>
      </c>
      <c r="G16" s="18" t="s">
        <v>601</v>
      </c>
      <c r="H16" s="18" t="s">
        <v>112</v>
      </c>
      <c r="I16" s="30">
        <v>537.67999999999995</v>
      </c>
      <c r="J16" s="30">
        <v>2150.7199999999998</v>
      </c>
      <c r="K16" s="30"/>
      <c r="L16" s="30">
        <v>2150.7199999999998</v>
      </c>
      <c r="M16" s="57">
        <f t="shared" si="0"/>
        <v>0</v>
      </c>
    </row>
    <row r="17" spans="1:13" x14ac:dyDescent="0.3">
      <c r="A17" s="5" t="s">
        <v>56</v>
      </c>
      <c r="B17" s="6" t="s">
        <v>27</v>
      </c>
      <c r="C17" s="6">
        <v>937221</v>
      </c>
      <c r="D17" s="6">
        <v>2022</v>
      </c>
      <c r="E17" s="6" t="s">
        <v>65</v>
      </c>
      <c r="F17" s="6" t="s">
        <v>110</v>
      </c>
      <c r="G17" s="6" t="s">
        <v>602</v>
      </c>
      <c r="H17" s="6" t="s">
        <v>112</v>
      </c>
      <c r="I17" s="7">
        <v>696.94</v>
      </c>
      <c r="J17" s="7">
        <v>2787.76</v>
      </c>
      <c r="K17" s="7"/>
      <c r="L17" s="7">
        <v>2787.76</v>
      </c>
      <c r="M17" s="58">
        <f t="shared" si="0"/>
        <v>0</v>
      </c>
    </row>
    <row r="18" spans="1:13" x14ac:dyDescent="0.3">
      <c r="A18" s="17" t="s">
        <v>56</v>
      </c>
      <c r="B18" s="18" t="s">
        <v>27</v>
      </c>
      <c r="C18" s="18">
        <v>937221</v>
      </c>
      <c r="D18" s="18">
        <v>2022</v>
      </c>
      <c r="E18" s="18" t="s">
        <v>65</v>
      </c>
      <c r="F18" s="18" t="s">
        <v>110</v>
      </c>
      <c r="G18" s="18" t="s">
        <v>603</v>
      </c>
      <c r="H18" s="18" t="s">
        <v>133</v>
      </c>
      <c r="I18" s="30">
        <v>1589.1</v>
      </c>
      <c r="J18" s="30">
        <v>3178.2</v>
      </c>
      <c r="K18" s="30"/>
      <c r="L18" s="30">
        <v>3178.2</v>
      </c>
      <c r="M18" s="57">
        <f t="shared" si="0"/>
        <v>0</v>
      </c>
    </row>
    <row r="19" spans="1:13" x14ac:dyDescent="0.3">
      <c r="A19" s="5" t="s">
        <v>56</v>
      </c>
      <c r="B19" s="6" t="s">
        <v>27</v>
      </c>
      <c r="C19" s="6">
        <v>937221</v>
      </c>
      <c r="D19" s="6">
        <v>2022</v>
      </c>
      <c r="E19" s="6" t="s">
        <v>67</v>
      </c>
      <c r="F19" s="6" t="s">
        <v>110</v>
      </c>
      <c r="G19" s="6" t="s">
        <v>604</v>
      </c>
      <c r="H19" s="6" t="s">
        <v>116</v>
      </c>
      <c r="I19" s="7">
        <v>3526.06</v>
      </c>
      <c r="J19" s="7">
        <v>3526.06</v>
      </c>
      <c r="K19" s="7"/>
      <c r="L19" s="7">
        <v>3526.06</v>
      </c>
      <c r="M19" s="58">
        <f t="shared" si="0"/>
        <v>0</v>
      </c>
    </row>
    <row r="20" spans="1:13" x14ac:dyDescent="0.3">
      <c r="A20" s="17" t="s">
        <v>56</v>
      </c>
      <c r="B20" s="18" t="s">
        <v>27</v>
      </c>
      <c r="C20" s="18">
        <v>937221</v>
      </c>
      <c r="D20" s="18">
        <v>2022</v>
      </c>
      <c r="E20" s="18" t="s">
        <v>66</v>
      </c>
      <c r="F20" s="18" t="s">
        <v>110</v>
      </c>
      <c r="G20" s="18" t="s">
        <v>605</v>
      </c>
      <c r="H20" s="18" t="s">
        <v>112</v>
      </c>
      <c r="I20" s="30">
        <v>8106.75</v>
      </c>
      <c r="J20" s="30">
        <v>32427</v>
      </c>
      <c r="K20" s="30"/>
      <c r="L20" s="30">
        <v>32427</v>
      </c>
      <c r="M20" s="57">
        <f t="shared" si="0"/>
        <v>0</v>
      </c>
    </row>
    <row r="21" spans="1:13" x14ac:dyDescent="0.3">
      <c r="A21" s="5" t="s">
        <v>56</v>
      </c>
      <c r="B21" s="6" t="s">
        <v>27</v>
      </c>
      <c r="C21" s="6">
        <v>937221</v>
      </c>
      <c r="D21" s="6">
        <v>2022</v>
      </c>
      <c r="E21" s="6" t="s">
        <v>65</v>
      </c>
      <c r="F21" s="6" t="s">
        <v>110</v>
      </c>
      <c r="G21" s="6" t="s">
        <v>606</v>
      </c>
      <c r="H21" s="6" t="s">
        <v>116</v>
      </c>
      <c r="I21" s="7">
        <v>492.51</v>
      </c>
      <c r="J21" s="7">
        <v>492.51</v>
      </c>
      <c r="K21" s="7"/>
      <c r="L21" s="7">
        <v>492.51</v>
      </c>
      <c r="M21" s="58">
        <f t="shared" si="0"/>
        <v>0</v>
      </c>
    </row>
    <row r="22" spans="1:13" x14ac:dyDescent="0.3">
      <c r="A22" s="17" t="s">
        <v>56</v>
      </c>
      <c r="B22" s="18" t="s">
        <v>27</v>
      </c>
      <c r="C22" s="18">
        <v>937221</v>
      </c>
      <c r="D22" s="18">
        <v>2022</v>
      </c>
      <c r="E22" s="18" t="s">
        <v>66</v>
      </c>
      <c r="F22" s="18" t="s">
        <v>110</v>
      </c>
      <c r="G22" s="18" t="s">
        <v>607</v>
      </c>
      <c r="H22" s="18" t="s">
        <v>133</v>
      </c>
      <c r="I22" s="30">
        <v>651.12</v>
      </c>
      <c r="J22" s="30">
        <v>1302.24</v>
      </c>
      <c r="K22" s="30"/>
      <c r="L22" s="30">
        <v>1302.24</v>
      </c>
      <c r="M22" s="57">
        <f t="shared" si="0"/>
        <v>0</v>
      </c>
    </row>
    <row r="23" spans="1:13" x14ac:dyDescent="0.3">
      <c r="A23" s="5" t="s">
        <v>56</v>
      </c>
      <c r="B23" s="6" t="s">
        <v>27</v>
      </c>
      <c r="C23" s="6">
        <v>937221</v>
      </c>
      <c r="D23" s="6">
        <v>2022</v>
      </c>
      <c r="E23" s="6" t="s">
        <v>65</v>
      </c>
      <c r="F23" s="6" t="s">
        <v>110</v>
      </c>
      <c r="G23" s="6" t="s">
        <v>608</v>
      </c>
      <c r="H23" s="6" t="s">
        <v>114</v>
      </c>
      <c r="I23" s="7">
        <v>1220.9100000000001</v>
      </c>
      <c r="J23" s="7">
        <v>6104.55</v>
      </c>
      <c r="K23" s="7"/>
      <c r="L23" s="7">
        <v>6104.55</v>
      </c>
      <c r="M23" s="58">
        <f t="shared" si="0"/>
        <v>0</v>
      </c>
    </row>
    <row r="24" spans="1:13" x14ac:dyDescent="0.3">
      <c r="A24" s="17" t="s">
        <v>56</v>
      </c>
      <c r="B24" s="18" t="s">
        <v>27</v>
      </c>
      <c r="C24" s="18">
        <v>937221</v>
      </c>
      <c r="D24" s="18">
        <v>2022</v>
      </c>
      <c r="E24" s="18" t="s">
        <v>65</v>
      </c>
      <c r="F24" s="18" t="s">
        <v>110</v>
      </c>
      <c r="G24" s="18" t="s">
        <v>609</v>
      </c>
      <c r="H24" s="18" t="s">
        <v>116</v>
      </c>
      <c r="I24" s="30">
        <v>2020.5</v>
      </c>
      <c r="J24" s="30">
        <v>2020.5</v>
      </c>
      <c r="K24" s="30"/>
      <c r="L24" s="30">
        <v>2020.5</v>
      </c>
      <c r="M24" s="57">
        <f t="shared" si="0"/>
        <v>0</v>
      </c>
    </row>
    <row r="25" spans="1:13" x14ac:dyDescent="0.3">
      <c r="A25" s="5" t="s">
        <v>56</v>
      </c>
      <c r="B25" s="6" t="s">
        <v>27</v>
      </c>
      <c r="C25" s="6">
        <v>937221</v>
      </c>
      <c r="D25" s="6">
        <v>2022</v>
      </c>
      <c r="E25" s="6" t="s">
        <v>65</v>
      </c>
      <c r="F25" s="6" t="s">
        <v>110</v>
      </c>
      <c r="G25" s="6" t="s">
        <v>610</v>
      </c>
      <c r="H25" s="6" t="s">
        <v>212</v>
      </c>
      <c r="I25" s="7">
        <v>237.74</v>
      </c>
      <c r="J25" s="7">
        <v>1901.92</v>
      </c>
      <c r="K25" s="7"/>
      <c r="L25" s="7">
        <v>1901.92</v>
      </c>
      <c r="M25" s="58">
        <f t="shared" si="0"/>
        <v>0</v>
      </c>
    </row>
    <row r="26" spans="1:13" x14ac:dyDescent="0.3">
      <c r="A26" s="17" t="s">
        <v>56</v>
      </c>
      <c r="B26" s="18" t="s">
        <v>27</v>
      </c>
      <c r="C26" s="18">
        <v>937221</v>
      </c>
      <c r="D26" s="18">
        <v>2022</v>
      </c>
      <c r="E26" s="18" t="s">
        <v>66</v>
      </c>
      <c r="F26" s="18" t="s">
        <v>110</v>
      </c>
      <c r="G26" s="18" t="s">
        <v>611</v>
      </c>
      <c r="H26" s="18" t="s">
        <v>133</v>
      </c>
      <c r="I26" s="30">
        <v>627.4</v>
      </c>
      <c r="J26" s="30">
        <v>1254.79</v>
      </c>
      <c r="K26" s="30"/>
      <c r="L26" s="30">
        <v>1254.79</v>
      </c>
      <c r="M26" s="57">
        <f t="shared" si="0"/>
        <v>0</v>
      </c>
    </row>
    <row r="27" spans="1:13" x14ac:dyDescent="0.3">
      <c r="A27" s="5" t="s">
        <v>56</v>
      </c>
      <c r="B27" s="6" t="s">
        <v>27</v>
      </c>
      <c r="C27" s="6">
        <v>937221</v>
      </c>
      <c r="D27" s="6">
        <v>2022</v>
      </c>
      <c r="E27" s="6" t="s">
        <v>65</v>
      </c>
      <c r="F27" s="6" t="s">
        <v>110</v>
      </c>
      <c r="G27" s="6" t="s">
        <v>612</v>
      </c>
      <c r="H27" s="6" t="s">
        <v>116</v>
      </c>
      <c r="I27" s="7">
        <v>7133.77</v>
      </c>
      <c r="J27" s="7">
        <v>7133.77</v>
      </c>
      <c r="K27" s="7"/>
      <c r="L27" s="7">
        <v>7133.77</v>
      </c>
      <c r="M27" s="58">
        <f t="shared" si="0"/>
        <v>0</v>
      </c>
    </row>
    <row r="28" spans="1:13" x14ac:dyDescent="0.3">
      <c r="A28" s="17" t="s">
        <v>56</v>
      </c>
      <c r="B28" s="18" t="s">
        <v>27</v>
      </c>
      <c r="C28" s="18">
        <v>937221</v>
      </c>
      <c r="D28" s="18">
        <v>2022</v>
      </c>
      <c r="E28" s="18" t="s">
        <v>67</v>
      </c>
      <c r="F28" s="18" t="s">
        <v>110</v>
      </c>
      <c r="G28" s="18" t="s">
        <v>613</v>
      </c>
      <c r="H28" s="18" t="s">
        <v>112</v>
      </c>
      <c r="I28" s="30">
        <v>1065.4000000000001</v>
      </c>
      <c r="J28" s="30">
        <v>4261.6000000000004</v>
      </c>
      <c r="K28" s="30"/>
      <c r="L28" s="30">
        <v>4261.6000000000004</v>
      </c>
      <c r="M28" s="57">
        <f t="shared" si="0"/>
        <v>0</v>
      </c>
    </row>
    <row r="29" spans="1:13" x14ac:dyDescent="0.3">
      <c r="A29" s="5" t="s">
        <v>56</v>
      </c>
      <c r="B29" s="6" t="s">
        <v>27</v>
      </c>
      <c r="C29" s="6">
        <v>937221</v>
      </c>
      <c r="D29" s="6">
        <v>2022</v>
      </c>
      <c r="E29" s="6" t="s">
        <v>66</v>
      </c>
      <c r="F29" s="6" t="s">
        <v>110</v>
      </c>
      <c r="G29" s="6" t="s">
        <v>614</v>
      </c>
      <c r="H29" s="6" t="s">
        <v>116</v>
      </c>
      <c r="I29" s="7">
        <v>3650.84</v>
      </c>
      <c r="J29" s="7">
        <v>3650.84</v>
      </c>
      <c r="K29" s="7"/>
      <c r="L29" s="7">
        <v>3650.84</v>
      </c>
      <c r="M29" s="58">
        <f t="shared" si="0"/>
        <v>0</v>
      </c>
    </row>
    <row r="30" spans="1:13" x14ac:dyDescent="0.3">
      <c r="A30" s="17" t="s">
        <v>56</v>
      </c>
      <c r="B30" s="18" t="s">
        <v>27</v>
      </c>
      <c r="C30" s="18">
        <v>937221</v>
      </c>
      <c r="D30" s="18">
        <v>2022</v>
      </c>
      <c r="E30" s="18" t="s">
        <v>134</v>
      </c>
      <c r="F30" s="18" t="s">
        <v>110</v>
      </c>
      <c r="G30" s="18" t="s">
        <v>615</v>
      </c>
      <c r="H30" s="18" t="s">
        <v>116</v>
      </c>
      <c r="I30" s="30">
        <v>3.5</v>
      </c>
      <c r="J30" s="30">
        <v>3.5</v>
      </c>
      <c r="K30" s="30">
        <v>0</v>
      </c>
      <c r="L30" s="30">
        <v>3.5</v>
      </c>
      <c r="M30" s="57">
        <f t="shared" si="0"/>
        <v>3.5</v>
      </c>
    </row>
    <row r="31" spans="1:13" x14ac:dyDescent="0.3">
      <c r="A31" s="5" t="s">
        <v>56</v>
      </c>
      <c r="B31" s="6" t="s">
        <v>27</v>
      </c>
      <c r="C31" s="6">
        <v>937221</v>
      </c>
      <c r="D31" s="6">
        <v>2022</v>
      </c>
      <c r="E31" s="6" t="s">
        <v>66</v>
      </c>
      <c r="F31" s="6" t="s">
        <v>110</v>
      </c>
      <c r="G31" s="6" t="s">
        <v>616</v>
      </c>
      <c r="H31" s="6" t="s">
        <v>116</v>
      </c>
      <c r="I31" s="7">
        <v>1690.82</v>
      </c>
      <c r="J31" s="7">
        <v>1690.82</v>
      </c>
      <c r="K31" s="7"/>
      <c r="L31" s="7">
        <v>1690.82</v>
      </c>
      <c r="M31" s="58">
        <f t="shared" si="0"/>
        <v>0</v>
      </c>
    </row>
    <row r="32" spans="1:13" x14ac:dyDescent="0.3">
      <c r="A32" s="17" t="s">
        <v>56</v>
      </c>
      <c r="B32" s="18" t="s">
        <v>27</v>
      </c>
      <c r="C32" s="18">
        <v>937221</v>
      </c>
      <c r="D32" s="18">
        <v>2022</v>
      </c>
      <c r="E32" s="18" t="s">
        <v>65</v>
      </c>
      <c r="F32" s="18" t="s">
        <v>110</v>
      </c>
      <c r="G32" s="18" t="s">
        <v>617</v>
      </c>
      <c r="H32" s="18" t="s">
        <v>116</v>
      </c>
      <c r="I32" s="30">
        <v>1047.97</v>
      </c>
      <c r="J32" s="30">
        <v>1047.97</v>
      </c>
      <c r="K32" s="30"/>
      <c r="L32" s="30">
        <v>1047.97</v>
      </c>
      <c r="M32" s="57">
        <f t="shared" si="0"/>
        <v>0</v>
      </c>
    </row>
    <row r="33" spans="1:13" x14ac:dyDescent="0.3">
      <c r="A33" s="5" t="s">
        <v>56</v>
      </c>
      <c r="B33" s="6" t="s">
        <v>27</v>
      </c>
      <c r="C33" s="6">
        <v>937221</v>
      </c>
      <c r="D33" s="6">
        <v>2022</v>
      </c>
      <c r="E33" s="6" t="s">
        <v>66</v>
      </c>
      <c r="F33" s="6" t="s">
        <v>110</v>
      </c>
      <c r="G33" s="6" t="s">
        <v>618</v>
      </c>
      <c r="H33" s="6" t="s">
        <v>114</v>
      </c>
      <c r="I33" s="7">
        <v>2174.86</v>
      </c>
      <c r="J33" s="7">
        <v>10874.3</v>
      </c>
      <c r="K33" s="7"/>
      <c r="L33" s="7">
        <v>10874.3</v>
      </c>
      <c r="M33" s="58">
        <f t="shared" si="0"/>
        <v>0</v>
      </c>
    </row>
    <row r="34" spans="1:13" x14ac:dyDescent="0.3">
      <c r="A34" s="61" t="s">
        <v>56</v>
      </c>
      <c r="B34" s="62" t="s">
        <v>27</v>
      </c>
      <c r="C34" s="62">
        <v>937221</v>
      </c>
      <c r="D34" s="62">
        <v>2022</v>
      </c>
      <c r="E34" s="62" t="s">
        <v>65</v>
      </c>
      <c r="F34" s="62" t="s">
        <v>110</v>
      </c>
      <c r="G34" s="62" t="s">
        <v>619</v>
      </c>
      <c r="H34" s="62" t="s">
        <v>133</v>
      </c>
      <c r="I34" s="63">
        <v>245.54</v>
      </c>
      <c r="J34" s="63">
        <v>491.08</v>
      </c>
      <c r="K34" s="63"/>
      <c r="L34" s="63">
        <v>491.08</v>
      </c>
      <c r="M34" s="64">
        <f t="shared" si="0"/>
        <v>0</v>
      </c>
    </row>
    <row r="35" spans="1:13" x14ac:dyDescent="0.3">
      <c r="A35" s="5"/>
      <c r="B35" s="6"/>
      <c r="C35" s="6"/>
      <c r="D35" s="6"/>
      <c r="E35" s="6"/>
      <c r="F35" s="6"/>
      <c r="G35" s="6"/>
      <c r="H35" s="6"/>
      <c r="I35" s="7"/>
      <c r="J35" s="7"/>
      <c r="K35" s="7"/>
      <c r="L35" s="8"/>
    </row>
    <row r="36" spans="1:13" x14ac:dyDescent="0.3">
      <c r="A36" s="17"/>
      <c r="B36" s="18"/>
      <c r="C36" s="18"/>
      <c r="D36" s="18"/>
      <c r="E36" s="18"/>
      <c r="F36" s="18"/>
      <c r="G36" s="18"/>
      <c r="H36" s="18"/>
      <c r="I36" s="30"/>
      <c r="J36" s="30"/>
      <c r="K36" s="30"/>
      <c r="L36" s="31"/>
    </row>
    <row r="37" spans="1:13" x14ac:dyDescent="0.3">
      <c r="A37" s="5"/>
      <c r="B37" s="6"/>
      <c r="C37" s="6"/>
      <c r="D37" s="6"/>
      <c r="E37" s="6"/>
      <c r="F37" s="6"/>
      <c r="G37" s="6"/>
      <c r="H37" s="6"/>
      <c r="I37" s="7"/>
      <c r="J37" s="7"/>
      <c r="K37" s="7"/>
      <c r="L37" s="8"/>
    </row>
    <row r="38" spans="1:13" x14ac:dyDescent="0.3">
      <c r="A38" s="17"/>
      <c r="B38" s="18"/>
      <c r="C38" s="18"/>
      <c r="D38" s="18"/>
      <c r="E38" s="18"/>
      <c r="F38" s="18"/>
      <c r="G38" s="18"/>
      <c r="H38" s="18"/>
      <c r="I38" s="30"/>
      <c r="J38" s="30"/>
      <c r="K38" s="30"/>
      <c r="L38" s="31"/>
    </row>
    <row r="39" spans="1:13" x14ac:dyDescent="0.3">
      <c r="A39" s="5"/>
      <c r="B39" s="6"/>
      <c r="C39" s="6"/>
      <c r="D39" s="6"/>
      <c r="E39" s="6"/>
      <c r="F39" s="6"/>
      <c r="G39" s="6"/>
      <c r="H39" s="6"/>
      <c r="I39" s="7"/>
      <c r="J39" s="7"/>
      <c r="K39" s="7"/>
      <c r="L39" s="8"/>
    </row>
    <row r="40" spans="1:13" x14ac:dyDescent="0.3">
      <c r="A40" s="17"/>
      <c r="B40" s="18"/>
      <c r="C40" s="18"/>
      <c r="D40" s="18"/>
      <c r="E40" s="18"/>
      <c r="F40" s="18"/>
      <c r="G40" s="18"/>
      <c r="H40" s="18"/>
      <c r="I40" s="30"/>
      <c r="J40" s="30"/>
      <c r="K40" s="30"/>
      <c r="L40" s="31"/>
    </row>
    <row r="41" spans="1:13" x14ac:dyDescent="0.3">
      <c r="A41" s="5"/>
      <c r="B41" s="6"/>
      <c r="C41" s="6"/>
      <c r="D41" s="6"/>
      <c r="E41" s="6"/>
      <c r="F41" s="6"/>
      <c r="G41" s="6"/>
      <c r="H41" s="6"/>
      <c r="I41" s="7"/>
      <c r="J41" s="7"/>
      <c r="K41" s="7"/>
      <c r="L41" s="8"/>
    </row>
  </sheetData>
  <autoFilter ref="A1:M34" xr:uid="{E4F23310-98D6-41A0-97E8-7BFE177B1FB1}"/>
  <phoneticPr fontId="3" type="noConversion"/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EC91-FBBE-4B9C-9582-4466E1C8CEC0}">
  <dimension ref="A1:M27"/>
  <sheetViews>
    <sheetView zoomScale="70" zoomScaleNormal="70" workbookViewId="0">
      <selection activeCell="K27" sqref="K27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4.59765625" style="3" bestFit="1" customWidth="1"/>
    <col min="13" max="13" width="15.8984375" bestFit="1" customWidth="1"/>
  </cols>
  <sheetData>
    <row r="1" spans="1:13" ht="46.8" x14ac:dyDescent="0.3">
      <c r="A1" s="9" t="s">
        <v>0</v>
      </c>
      <c r="B1" s="10" t="s">
        <v>1</v>
      </c>
      <c r="C1" s="10" t="s">
        <v>2</v>
      </c>
      <c r="D1" s="10" t="s">
        <v>3</v>
      </c>
      <c r="E1" s="27" t="s">
        <v>94</v>
      </c>
      <c r="F1" s="27" t="s">
        <v>95</v>
      </c>
      <c r="G1" s="27" t="s">
        <v>96</v>
      </c>
      <c r="H1" s="27" t="s">
        <v>97</v>
      </c>
      <c r="I1" s="28" t="s">
        <v>98</v>
      </c>
      <c r="J1" s="28" t="s">
        <v>99</v>
      </c>
      <c r="K1" s="28" t="s">
        <v>100</v>
      </c>
      <c r="L1" s="29" t="s">
        <v>101</v>
      </c>
      <c r="M1" s="46" t="s">
        <v>102</v>
      </c>
    </row>
    <row r="2" spans="1:13" x14ac:dyDescent="0.3">
      <c r="A2" s="17" t="s">
        <v>60</v>
      </c>
      <c r="B2" s="18" t="s">
        <v>27</v>
      </c>
      <c r="C2" s="18">
        <v>937783</v>
      </c>
      <c r="D2" s="18">
        <v>2022</v>
      </c>
      <c r="E2" s="18" t="s">
        <v>66</v>
      </c>
      <c r="F2" s="18" t="s">
        <v>103</v>
      </c>
      <c r="G2" s="18" t="s">
        <v>620</v>
      </c>
      <c r="H2" s="18" t="s">
        <v>217</v>
      </c>
      <c r="I2" s="30">
        <v>450</v>
      </c>
      <c r="J2" s="30">
        <v>7200</v>
      </c>
      <c r="K2" s="30"/>
      <c r="L2" s="31">
        <v>7200</v>
      </c>
      <c r="M2" s="47">
        <f>IF(E2="N/A", J2, IF(OR(K2=0, ISBLANK(K2), K2=""), 0, J2-K2))</f>
        <v>0</v>
      </c>
    </row>
    <row r="3" spans="1:13" x14ac:dyDescent="0.3">
      <c r="A3" s="5" t="s">
        <v>60</v>
      </c>
      <c r="B3" s="6" t="s">
        <v>27</v>
      </c>
      <c r="C3" s="6">
        <v>937783</v>
      </c>
      <c r="D3" s="6">
        <v>2022</v>
      </c>
      <c r="E3" s="6" t="s">
        <v>134</v>
      </c>
      <c r="F3" s="6" t="s">
        <v>103</v>
      </c>
      <c r="G3" s="6" t="s">
        <v>621</v>
      </c>
      <c r="H3" s="6" t="s">
        <v>116</v>
      </c>
      <c r="I3" s="7">
        <v>92886.88</v>
      </c>
      <c r="J3" s="7">
        <v>92886.88</v>
      </c>
      <c r="K3" s="7">
        <v>0</v>
      </c>
      <c r="L3" s="8">
        <v>92886.88</v>
      </c>
      <c r="M3" s="47">
        <f t="shared" ref="M3:M24" si="0">IF(E3="N/A", J3, IF(OR(K3=0, ISBLANK(K3), K3=""), 0, J3-K3))</f>
        <v>92886.88</v>
      </c>
    </row>
    <row r="4" spans="1:13" x14ac:dyDescent="0.3">
      <c r="A4" s="17" t="s">
        <v>60</v>
      </c>
      <c r="B4" s="18" t="s">
        <v>27</v>
      </c>
      <c r="C4" s="18">
        <v>937783</v>
      </c>
      <c r="D4" s="18">
        <v>2022</v>
      </c>
      <c r="E4" s="18" t="s">
        <v>65</v>
      </c>
      <c r="F4" s="18" t="s">
        <v>110</v>
      </c>
      <c r="G4" s="18" t="s">
        <v>622</v>
      </c>
      <c r="H4" s="18">
        <v>1</v>
      </c>
      <c r="I4" s="30">
        <v>140216.70000000001</v>
      </c>
      <c r="J4" s="30">
        <v>140216.70000000001</v>
      </c>
      <c r="K4" s="30"/>
      <c r="L4" s="30">
        <v>140216.70000000001</v>
      </c>
      <c r="M4" s="47">
        <f t="shared" si="0"/>
        <v>0</v>
      </c>
    </row>
    <row r="5" spans="1:13" x14ac:dyDescent="0.3">
      <c r="A5" s="17" t="s">
        <v>60</v>
      </c>
      <c r="B5" s="18" t="s">
        <v>27</v>
      </c>
      <c r="C5" s="18">
        <v>937783</v>
      </c>
      <c r="D5" s="18">
        <v>2022</v>
      </c>
      <c r="E5" s="18" t="s">
        <v>66</v>
      </c>
      <c r="F5" s="18" t="s">
        <v>110</v>
      </c>
      <c r="G5" s="18" t="s">
        <v>622</v>
      </c>
      <c r="H5" s="18">
        <v>1</v>
      </c>
      <c r="I5" s="30">
        <v>140216.70000000001</v>
      </c>
      <c r="J5" s="30">
        <v>140216.70000000001</v>
      </c>
      <c r="K5" s="30"/>
      <c r="L5" s="30">
        <v>140216.70000000001</v>
      </c>
      <c r="M5" s="47">
        <f t="shared" si="0"/>
        <v>0</v>
      </c>
    </row>
    <row r="6" spans="1:13" x14ac:dyDescent="0.3">
      <c r="A6" s="5" t="s">
        <v>60</v>
      </c>
      <c r="B6" s="6" t="s">
        <v>27</v>
      </c>
      <c r="C6" s="6">
        <v>937783</v>
      </c>
      <c r="D6" s="6">
        <v>2022</v>
      </c>
      <c r="E6" s="6" t="s">
        <v>67</v>
      </c>
      <c r="F6" s="18" t="s">
        <v>110</v>
      </c>
      <c r="G6" s="6" t="s">
        <v>623</v>
      </c>
      <c r="H6" s="6" t="s">
        <v>116</v>
      </c>
      <c r="I6" s="7">
        <v>7000</v>
      </c>
      <c r="J6" s="7">
        <v>7000</v>
      </c>
      <c r="K6" s="7"/>
      <c r="L6" s="8">
        <v>7000</v>
      </c>
      <c r="M6" s="47">
        <f t="shared" si="0"/>
        <v>0</v>
      </c>
    </row>
    <row r="7" spans="1:13" x14ac:dyDescent="0.3">
      <c r="A7" s="17" t="s">
        <v>60</v>
      </c>
      <c r="B7" s="18" t="s">
        <v>27</v>
      </c>
      <c r="C7" s="18">
        <v>937783</v>
      </c>
      <c r="D7" s="18">
        <v>2022</v>
      </c>
      <c r="E7" s="18" t="s">
        <v>67</v>
      </c>
      <c r="F7" s="18" t="s">
        <v>110</v>
      </c>
      <c r="G7" s="18" t="s">
        <v>624</v>
      </c>
      <c r="H7" s="18" t="s">
        <v>116</v>
      </c>
      <c r="I7" s="30">
        <v>1795.67</v>
      </c>
      <c r="J7" s="30">
        <v>1795.67</v>
      </c>
      <c r="K7" s="30"/>
      <c r="L7" s="31">
        <v>1795.67</v>
      </c>
      <c r="M7" s="47">
        <f t="shared" si="0"/>
        <v>0</v>
      </c>
    </row>
    <row r="8" spans="1:13" x14ac:dyDescent="0.3">
      <c r="A8" s="5" t="s">
        <v>60</v>
      </c>
      <c r="B8" s="6" t="s">
        <v>27</v>
      </c>
      <c r="C8" s="6">
        <v>937783</v>
      </c>
      <c r="D8" s="6">
        <v>2022</v>
      </c>
      <c r="E8" s="6" t="s">
        <v>67</v>
      </c>
      <c r="F8" s="18" t="s">
        <v>110</v>
      </c>
      <c r="G8" s="6" t="s">
        <v>625</v>
      </c>
      <c r="H8" s="6" t="s">
        <v>116</v>
      </c>
      <c r="I8" s="7">
        <v>97456.67</v>
      </c>
      <c r="J8" s="7">
        <v>97456.67</v>
      </c>
      <c r="K8" s="7"/>
      <c r="L8" s="8">
        <v>97456.67</v>
      </c>
      <c r="M8" s="47">
        <f t="shared" si="0"/>
        <v>0</v>
      </c>
    </row>
    <row r="9" spans="1:13" x14ac:dyDescent="0.3">
      <c r="A9" s="17" t="s">
        <v>60</v>
      </c>
      <c r="B9" s="18" t="s">
        <v>27</v>
      </c>
      <c r="C9" s="18">
        <v>937783</v>
      </c>
      <c r="D9" s="18">
        <v>2022</v>
      </c>
      <c r="E9" s="18" t="s">
        <v>67</v>
      </c>
      <c r="F9" s="18" t="s">
        <v>110</v>
      </c>
      <c r="G9" s="18" t="s">
        <v>626</v>
      </c>
      <c r="H9" s="18" t="s">
        <v>116</v>
      </c>
      <c r="I9" s="30">
        <v>4969</v>
      </c>
      <c r="J9" s="30">
        <v>4969</v>
      </c>
      <c r="K9" s="30">
        <v>4969</v>
      </c>
      <c r="L9" s="31">
        <f>J9-K9</f>
        <v>0</v>
      </c>
      <c r="M9" s="47">
        <f t="shared" si="0"/>
        <v>0</v>
      </c>
    </row>
    <row r="10" spans="1:13" x14ac:dyDescent="0.3">
      <c r="A10" s="5" t="s">
        <v>60</v>
      </c>
      <c r="B10" s="6" t="s">
        <v>27</v>
      </c>
      <c r="C10" s="6">
        <v>937783</v>
      </c>
      <c r="D10" s="6">
        <v>2022</v>
      </c>
      <c r="E10" s="6" t="s">
        <v>67</v>
      </c>
      <c r="F10" s="18" t="s">
        <v>110</v>
      </c>
      <c r="G10" s="6" t="s">
        <v>627</v>
      </c>
      <c r="H10" s="6" t="s">
        <v>116</v>
      </c>
      <c r="I10" s="7">
        <v>18200</v>
      </c>
      <c r="J10" s="7">
        <v>18200</v>
      </c>
      <c r="K10" s="7">
        <v>18200</v>
      </c>
      <c r="L10" s="31">
        <f t="shared" ref="L10:L24" si="1">J10-K10</f>
        <v>0</v>
      </c>
      <c r="M10" s="47">
        <f t="shared" si="0"/>
        <v>0</v>
      </c>
    </row>
    <row r="11" spans="1:13" x14ac:dyDescent="0.3">
      <c r="A11" s="17" t="s">
        <v>60</v>
      </c>
      <c r="B11" s="18" t="s">
        <v>27</v>
      </c>
      <c r="C11" s="18">
        <v>937783</v>
      </c>
      <c r="D11" s="18">
        <v>2022</v>
      </c>
      <c r="E11" s="18" t="s">
        <v>67</v>
      </c>
      <c r="F11" s="18" t="s">
        <v>110</v>
      </c>
      <c r="G11" s="18" t="s">
        <v>628</v>
      </c>
      <c r="H11" s="18" t="s">
        <v>133</v>
      </c>
      <c r="I11" s="30">
        <v>419.99</v>
      </c>
      <c r="J11" s="30">
        <v>839.98</v>
      </c>
      <c r="K11" s="30">
        <v>839.98</v>
      </c>
      <c r="L11" s="31">
        <f t="shared" si="1"/>
        <v>0</v>
      </c>
      <c r="M11" s="47">
        <f t="shared" si="0"/>
        <v>0</v>
      </c>
    </row>
    <row r="12" spans="1:13" x14ac:dyDescent="0.3">
      <c r="A12" s="5" t="s">
        <v>60</v>
      </c>
      <c r="B12" s="6" t="s">
        <v>27</v>
      </c>
      <c r="C12" s="6">
        <v>937783</v>
      </c>
      <c r="D12" s="6">
        <v>2022</v>
      </c>
      <c r="E12" s="6" t="s">
        <v>67</v>
      </c>
      <c r="F12" s="18" t="s">
        <v>110</v>
      </c>
      <c r="G12" s="6" t="s">
        <v>629</v>
      </c>
      <c r="H12" s="6" t="s">
        <v>137</v>
      </c>
      <c r="I12" s="7">
        <v>450</v>
      </c>
      <c r="J12" s="7">
        <v>1350</v>
      </c>
      <c r="K12" s="47">
        <v>1350</v>
      </c>
      <c r="L12" s="31">
        <f t="shared" si="1"/>
        <v>0</v>
      </c>
      <c r="M12" s="47">
        <f t="shared" si="0"/>
        <v>0</v>
      </c>
    </row>
    <row r="13" spans="1:13" x14ac:dyDescent="0.3">
      <c r="A13" s="17" t="s">
        <v>60</v>
      </c>
      <c r="B13" s="18" t="s">
        <v>27</v>
      </c>
      <c r="C13" s="18">
        <v>937783</v>
      </c>
      <c r="D13" s="18">
        <v>2022</v>
      </c>
      <c r="E13" s="18" t="s">
        <v>67</v>
      </c>
      <c r="F13" s="18" t="s">
        <v>110</v>
      </c>
      <c r="G13" s="18" t="s">
        <v>630</v>
      </c>
      <c r="H13" s="18" t="s">
        <v>116</v>
      </c>
      <c r="I13" s="30">
        <v>534.17999999999995</v>
      </c>
      <c r="J13" s="30">
        <v>534.17999999999995</v>
      </c>
      <c r="K13" s="30"/>
      <c r="L13" s="31">
        <f t="shared" si="1"/>
        <v>534.17999999999995</v>
      </c>
      <c r="M13" s="47">
        <f t="shared" si="0"/>
        <v>0</v>
      </c>
    </row>
    <row r="14" spans="1:13" x14ac:dyDescent="0.3">
      <c r="A14" s="5" t="s">
        <v>60</v>
      </c>
      <c r="B14" s="6" t="s">
        <v>27</v>
      </c>
      <c r="C14" s="6">
        <v>937783</v>
      </c>
      <c r="D14" s="6">
        <v>2022</v>
      </c>
      <c r="E14" s="6" t="s">
        <v>67</v>
      </c>
      <c r="F14" s="18" t="s">
        <v>110</v>
      </c>
      <c r="G14" s="6" t="s">
        <v>631</v>
      </c>
      <c r="H14" s="6" t="s">
        <v>116</v>
      </c>
      <c r="I14" s="7">
        <v>944.84</v>
      </c>
      <c r="J14" s="7">
        <v>944.84</v>
      </c>
      <c r="K14" s="7">
        <v>944.84</v>
      </c>
      <c r="L14" s="31">
        <f t="shared" si="1"/>
        <v>0</v>
      </c>
      <c r="M14" s="47">
        <f t="shared" si="0"/>
        <v>0</v>
      </c>
    </row>
    <row r="15" spans="1:13" x14ac:dyDescent="0.3">
      <c r="A15" s="17" t="s">
        <v>60</v>
      </c>
      <c r="B15" s="18" t="s">
        <v>27</v>
      </c>
      <c r="C15" s="18">
        <v>937783</v>
      </c>
      <c r="D15" s="18">
        <v>2022</v>
      </c>
      <c r="E15" s="18" t="s">
        <v>67</v>
      </c>
      <c r="F15" s="18" t="s">
        <v>110</v>
      </c>
      <c r="G15" s="18" t="s">
        <v>632</v>
      </c>
      <c r="H15" s="18" t="s">
        <v>133</v>
      </c>
      <c r="I15" s="30">
        <v>997</v>
      </c>
      <c r="J15" s="30">
        <v>1994</v>
      </c>
      <c r="K15" s="30">
        <v>1994</v>
      </c>
      <c r="L15" s="31">
        <f t="shared" si="1"/>
        <v>0</v>
      </c>
      <c r="M15" s="47">
        <f t="shared" si="0"/>
        <v>0</v>
      </c>
    </row>
    <row r="16" spans="1:13" x14ac:dyDescent="0.3">
      <c r="A16" s="5" t="s">
        <v>60</v>
      </c>
      <c r="B16" s="6" t="s">
        <v>27</v>
      </c>
      <c r="C16" s="6">
        <v>937783</v>
      </c>
      <c r="D16" s="6">
        <v>2022</v>
      </c>
      <c r="E16" s="6" t="s">
        <v>67</v>
      </c>
      <c r="F16" s="18" t="s">
        <v>110</v>
      </c>
      <c r="G16" s="6" t="s">
        <v>633</v>
      </c>
      <c r="H16" s="6" t="s">
        <v>133</v>
      </c>
      <c r="I16" s="7">
        <v>646.92999999999995</v>
      </c>
      <c r="J16" s="7">
        <v>1293.8599999999999</v>
      </c>
      <c r="K16" s="7"/>
      <c r="L16" s="31">
        <f t="shared" si="1"/>
        <v>1293.8599999999999</v>
      </c>
      <c r="M16" s="47">
        <f t="shared" si="0"/>
        <v>0</v>
      </c>
    </row>
    <row r="17" spans="1:13" x14ac:dyDescent="0.3">
      <c r="A17" s="17" t="s">
        <v>60</v>
      </c>
      <c r="B17" s="18" t="s">
        <v>27</v>
      </c>
      <c r="C17" s="18">
        <v>937783</v>
      </c>
      <c r="D17" s="18">
        <v>2022</v>
      </c>
      <c r="E17" s="18" t="s">
        <v>67</v>
      </c>
      <c r="F17" s="18" t="s">
        <v>110</v>
      </c>
      <c r="G17" s="18" t="s">
        <v>634</v>
      </c>
      <c r="H17" s="18" t="s">
        <v>133</v>
      </c>
      <c r="I17" s="30">
        <v>950</v>
      </c>
      <c r="J17" s="30">
        <v>1900</v>
      </c>
      <c r="K17" s="30"/>
      <c r="L17" s="31">
        <f t="shared" si="1"/>
        <v>1900</v>
      </c>
      <c r="M17" s="47">
        <f t="shared" si="0"/>
        <v>0</v>
      </c>
    </row>
    <row r="18" spans="1:13" x14ac:dyDescent="0.3">
      <c r="A18" s="5" t="s">
        <v>60</v>
      </c>
      <c r="B18" s="6" t="s">
        <v>27</v>
      </c>
      <c r="C18" s="6">
        <v>937783</v>
      </c>
      <c r="D18" s="6">
        <v>2022</v>
      </c>
      <c r="E18" s="6" t="s">
        <v>67</v>
      </c>
      <c r="F18" s="18" t="s">
        <v>110</v>
      </c>
      <c r="G18" s="6" t="s">
        <v>635</v>
      </c>
      <c r="H18" s="6" t="s">
        <v>137</v>
      </c>
      <c r="I18" s="7">
        <v>2075.67</v>
      </c>
      <c r="J18" s="7">
        <v>6227.01</v>
      </c>
      <c r="K18" s="7"/>
      <c r="L18" s="31">
        <f t="shared" si="1"/>
        <v>6227.01</v>
      </c>
      <c r="M18" s="47">
        <f t="shared" si="0"/>
        <v>0</v>
      </c>
    </row>
    <row r="19" spans="1:13" x14ac:dyDescent="0.3">
      <c r="A19" s="17" t="s">
        <v>60</v>
      </c>
      <c r="B19" s="18" t="s">
        <v>27</v>
      </c>
      <c r="C19" s="18">
        <v>937783</v>
      </c>
      <c r="D19" s="18">
        <v>2022</v>
      </c>
      <c r="E19" s="18" t="s">
        <v>67</v>
      </c>
      <c r="F19" s="18" t="s">
        <v>110</v>
      </c>
      <c r="G19" s="18" t="s">
        <v>636</v>
      </c>
      <c r="H19" s="18" t="s">
        <v>133</v>
      </c>
      <c r="I19" s="30">
        <v>6250</v>
      </c>
      <c r="J19" s="30">
        <v>12500</v>
      </c>
      <c r="K19" s="30"/>
      <c r="L19" s="31">
        <f t="shared" si="1"/>
        <v>12500</v>
      </c>
      <c r="M19" s="47">
        <f t="shared" si="0"/>
        <v>0</v>
      </c>
    </row>
    <row r="20" spans="1:13" x14ac:dyDescent="0.3">
      <c r="A20" s="5" t="s">
        <v>60</v>
      </c>
      <c r="B20" s="6" t="s">
        <v>27</v>
      </c>
      <c r="C20" s="6">
        <v>937783</v>
      </c>
      <c r="D20" s="6">
        <v>2022</v>
      </c>
      <c r="E20" s="6" t="s">
        <v>67</v>
      </c>
      <c r="F20" s="18" t="s">
        <v>110</v>
      </c>
      <c r="G20" s="6" t="s">
        <v>637</v>
      </c>
      <c r="H20" s="6" t="s">
        <v>133</v>
      </c>
      <c r="I20" s="7">
        <v>8300</v>
      </c>
      <c r="J20" s="7">
        <v>16600</v>
      </c>
      <c r="K20" s="47">
        <v>16600</v>
      </c>
      <c r="L20" s="31">
        <f t="shared" si="1"/>
        <v>0</v>
      </c>
      <c r="M20" s="47">
        <f t="shared" si="0"/>
        <v>0</v>
      </c>
    </row>
    <row r="21" spans="1:13" x14ac:dyDescent="0.3">
      <c r="A21" s="17" t="s">
        <v>60</v>
      </c>
      <c r="B21" s="18" t="s">
        <v>27</v>
      </c>
      <c r="C21" s="18">
        <v>937783</v>
      </c>
      <c r="D21" s="18">
        <v>2022</v>
      </c>
      <c r="E21" s="18" t="s">
        <v>67</v>
      </c>
      <c r="F21" s="18" t="s">
        <v>110</v>
      </c>
      <c r="G21" s="18" t="s">
        <v>638</v>
      </c>
      <c r="H21" s="18" t="s">
        <v>133</v>
      </c>
      <c r="I21" s="30">
        <v>368.32</v>
      </c>
      <c r="J21" s="30">
        <v>736.64</v>
      </c>
      <c r="K21" s="30"/>
      <c r="L21" s="31">
        <f t="shared" si="1"/>
        <v>736.64</v>
      </c>
      <c r="M21" s="47">
        <f t="shared" si="0"/>
        <v>0</v>
      </c>
    </row>
    <row r="22" spans="1:13" x14ac:dyDescent="0.3">
      <c r="A22" s="5" t="s">
        <v>60</v>
      </c>
      <c r="B22" s="6" t="s">
        <v>27</v>
      </c>
      <c r="C22" s="6">
        <v>937783</v>
      </c>
      <c r="D22" s="6">
        <v>2022</v>
      </c>
      <c r="E22" s="6" t="s">
        <v>67</v>
      </c>
      <c r="F22" s="18" t="s">
        <v>110</v>
      </c>
      <c r="G22" s="6" t="s">
        <v>639</v>
      </c>
      <c r="H22" s="6" t="s">
        <v>116</v>
      </c>
      <c r="I22" s="7">
        <v>5200</v>
      </c>
      <c r="J22" s="7">
        <v>5200</v>
      </c>
      <c r="K22" s="7"/>
      <c r="L22" s="31">
        <f t="shared" si="1"/>
        <v>5200</v>
      </c>
      <c r="M22" s="47">
        <f t="shared" si="0"/>
        <v>0</v>
      </c>
    </row>
    <row r="23" spans="1:13" x14ac:dyDescent="0.3">
      <c r="A23" s="17" t="s">
        <v>60</v>
      </c>
      <c r="B23" s="18" t="s">
        <v>27</v>
      </c>
      <c r="C23" s="18">
        <v>937783</v>
      </c>
      <c r="D23" s="18">
        <v>2022</v>
      </c>
      <c r="E23" s="18" t="s">
        <v>67</v>
      </c>
      <c r="F23" s="18" t="s">
        <v>110</v>
      </c>
      <c r="G23" s="18" t="s">
        <v>640</v>
      </c>
      <c r="H23" s="18" t="s">
        <v>133</v>
      </c>
      <c r="I23" s="30">
        <v>1235</v>
      </c>
      <c r="J23" s="30">
        <v>2470</v>
      </c>
      <c r="K23" s="30"/>
      <c r="L23" s="31">
        <f t="shared" si="1"/>
        <v>2470</v>
      </c>
      <c r="M23" s="47">
        <f t="shared" si="0"/>
        <v>0</v>
      </c>
    </row>
    <row r="24" spans="1:13" x14ac:dyDescent="0.3">
      <c r="A24" s="5" t="s">
        <v>60</v>
      </c>
      <c r="B24" s="6" t="s">
        <v>27</v>
      </c>
      <c r="C24" s="6">
        <v>937783</v>
      </c>
      <c r="D24" s="6">
        <v>2022</v>
      </c>
      <c r="E24" s="6" t="s">
        <v>134</v>
      </c>
      <c r="F24" s="18" t="s">
        <v>110</v>
      </c>
      <c r="G24" s="6" t="s">
        <v>641</v>
      </c>
      <c r="H24" s="6" t="s">
        <v>116</v>
      </c>
      <c r="I24" s="7">
        <v>18488.150000000001</v>
      </c>
      <c r="J24" s="7">
        <v>18488.150000000001</v>
      </c>
      <c r="K24" s="7">
        <v>0</v>
      </c>
      <c r="L24" s="31">
        <f t="shared" si="1"/>
        <v>18488.150000000001</v>
      </c>
      <c r="M24" s="47">
        <f t="shared" si="0"/>
        <v>18488.150000000001</v>
      </c>
    </row>
    <row r="25" spans="1:13" x14ac:dyDescent="0.3">
      <c r="A25" s="17"/>
      <c r="B25" s="18"/>
      <c r="C25" s="18"/>
      <c r="D25" s="18"/>
      <c r="E25" s="18"/>
      <c r="F25" s="18"/>
      <c r="G25" s="18"/>
      <c r="H25" s="18"/>
      <c r="I25" s="30"/>
      <c r="J25" s="30"/>
      <c r="K25" s="30"/>
      <c r="L25" s="31"/>
    </row>
    <row r="26" spans="1:13" x14ac:dyDescent="0.3">
      <c r="A26" s="5"/>
      <c r="B26" s="6"/>
      <c r="C26" s="6"/>
      <c r="D26" s="6"/>
      <c r="E26" s="6"/>
      <c r="F26" s="6"/>
      <c r="G26" s="6"/>
      <c r="H26" s="6"/>
      <c r="I26" s="7"/>
      <c r="J26" s="7"/>
      <c r="K26" s="7"/>
      <c r="L26" s="8"/>
    </row>
    <row r="27" spans="1:13" x14ac:dyDescent="0.3">
      <c r="A27" s="17"/>
      <c r="B27" s="18"/>
      <c r="C27" s="18"/>
      <c r="D27" s="18"/>
      <c r="E27" s="18"/>
      <c r="F27" s="18"/>
      <c r="G27" s="18"/>
      <c r="H27" s="18"/>
      <c r="I27" s="30"/>
      <c r="J27" s="30"/>
      <c r="K27" s="30"/>
      <c r="L27" s="31"/>
    </row>
  </sheetData>
  <autoFilter ref="A1:M24" xr:uid="{EB30EC91-FBBE-4B9C-9582-4466E1C8CEC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3F5B0F-44C7-4B54-BF2C-436623B6B0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Geral</vt:lpstr>
      <vt:lpstr>IND_PRORROG</vt:lpstr>
      <vt:lpstr>MT</vt:lpstr>
      <vt:lpstr>GO</vt:lpstr>
      <vt:lpstr>PR</vt:lpstr>
      <vt:lpstr>AM</vt:lpstr>
      <vt:lpstr>AC</vt:lpstr>
      <vt:lpstr>MS</vt:lpstr>
      <vt:lpstr>SP</vt:lpstr>
      <vt:lpstr>MA</vt:lpstr>
      <vt:lpstr>PB</vt:lpstr>
      <vt:lpstr>PI</vt:lpstr>
      <vt:lpstr>RO</vt:lpstr>
      <vt:lpstr>TO</vt:lpstr>
      <vt:lpstr>RJ</vt:lpstr>
      <vt:lpstr>AL</vt:lpstr>
      <vt:lpstr>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Rocha Cortez</dc:creator>
  <cp:keywords/>
  <dc:description/>
  <cp:lastModifiedBy>Marcelo Rocha Cortez</cp:lastModifiedBy>
  <cp:revision/>
  <dcterms:created xsi:type="dcterms:W3CDTF">2025-10-06T13:20:11Z</dcterms:created>
  <dcterms:modified xsi:type="dcterms:W3CDTF">2026-05-18T20:04:16Z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2025-11-18T14:16:55Z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3e7bd94c-4141-49b0-bfce-14298e0c32d1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