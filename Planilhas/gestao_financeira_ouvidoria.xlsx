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2166" documentId="121_{5868839F-5262-4ADE-9247-AEFBBF16C63D}" xr6:coauthVersionLast="47" xr6:coauthVersionMax="47" xr10:uidLastSave="{DB6E2290-0730-4100-8F0A-106AFAF18C10}"/>
  <bookViews>
    <workbookView xWindow="-108" yWindow="-108" windowWidth="23256" windowHeight="12456" activeTab="3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" l="1"/>
  <c r="R2" i="1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L49" i="22"/>
  <c r="J50" i="22"/>
  <c r="L50" i="22" s="1"/>
  <c r="J51" i="22"/>
  <c r="L51" i="22" s="1"/>
  <c r="J49" i="22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14" i="1"/>
  <c r="O3" i="1"/>
  <c r="O11" i="1"/>
  <c r="P16" i="1"/>
  <c r="O14" i="1"/>
  <c r="P4" i="1"/>
  <c r="O16" i="1"/>
  <c r="P12" i="1"/>
  <c r="O7" i="1"/>
  <c r="P11" i="1"/>
  <c r="P3" i="1"/>
  <c r="P6" i="1"/>
  <c r="O12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P5" i="1"/>
  <c r="O2" i="1"/>
  <c r="O15" i="1"/>
  <c r="O13" i="1"/>
  <c r="P2" i="1"/>
  <c r="O6" i="1"/>
  <c r="P15" i="1"/>
  <c r="P9" i="1"/>
  <c r="P13" i="1"/>
  <c r="O5" i="1"/>
  <c r="O10" i="1"/>
  <c r="P7" i="1"/>
  <c r="O9" i="1"/>
  <c r="P10" i="1"/>
  <c r="P8" i="1"/>
  <c r="O8" i="1"/>
  <c r="O4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<sst xmlns="http://schemas.openxmlformats.org/spreadsheetml/2006/main" count="3813" uniqueCount="659">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</sst>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6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  <xf numFmtId="44" fontId="0" fillId="0" borderId="2" xfId="0" applyNumberFormat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zoomScale="70" zoomScaleNormal="70" workbookViewId="0">
      <selection activeCell="H23" sqref="H23"/>
    </sheetView>
  </sheetViews>
  <sheetFormatPr defaultColWidth="9" defaultRowHeight="15.6" x14ac:dyDescent="0.3"/>
  <cols>
    <col min="1" max="1" width="4.898437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21" width="21.69921875" style="20" customWidth="1"/>
    <col min="22" max="22" width="16.19921875" style="76" customWidth="1"/>
    <col min="23" max="23" width="10.8984375" style="76" bestFit="1" customWidth="1"/>
    <col min="24" max="24" width="14.19921875" style="76" customWidth="1"/>
    <col min="25" max="25" width="13" style="76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N3</f>
        <v>26067.41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4" t="s">
        <v>63</v>
      </c>
      <c r="B1" s="155"/>
      <c r="C1" s="156"/>
      <c r="D1" s="93"/>
      <c r="E1" s="86"/>
      <c r="F1" s="86"/>
      <c r="G1" s="104"/>
      <c r="H1" s="154" t="s">
        <v>64</v>
      </c>
      <c r="I1" s="155"/>
      <c r="J1" s="155"/>
      <c r="K1" s="155"/>
      <c r="L1" s="155"/>
      <c r="M1" s="156"/>
      <c r="N1" s="157" t="s">
        <v>65</v>
      </c>
      <c r="O1" s="158"/>
      <c r="P1" s="157" t="s">
        <v>66</v>
      </c>
      <c r="Q1" s="158"/>
      <c r="R1" s="157" t="s">
        <v>67</v>
      </c>
      <c r="S1" s="158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8" operator="greaterThan">
      <formula>0.7</formula>
    </cfRule>
    <cfRule type="cellIs" dxfId="38" priority="436" operator="lessThan">
      <formula>0.1</formula>
    </cfRule>
    <cfRule type="cellIs" dxfId="37" priority="437" operator="between">
      <formula>0.1</formula>
      <formula>0.7</formula>
    </cfRule>
  </conditionalFormatting>
  <conditionalFormatting sqref="I3:I22">
    <cfRule type="containsText" dxfId="36" priority="329" operator="containsText" text="MAJORITARIAMENTE BENS">
      <formula>NOT(ISERROR(SEARCH("MAJORITARIAMENTE BENS",I3)))</formula>
    </cfRule>
    <cfRule type="containsText" dxfId="35" priority="330" operator="containsText" text="SERVIÇOS">
      <formula>NOT(ISERROR(SEARCH("SERVIÇOS",I3)))</formula>
    </cfRule>
    <cfRule type="containsText" dxfId="34" priority="328" operator="containsText" text="APENAS BENS">
      <formula>NOT(ISERROR(SEARCH("APENAS BENS",I3)))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4" operator="greaterThan">
      <formula>0.7</formula>
    </cfRule>
    <cfRule type="cellIs" dxfId="12" priority="403" operator="between">
      <formula>0.1</formula>
      <formula>0.7</formula>
    </cfRule>
    <cfRule type="cellIs" dxfId="11" priority="402" operator="lessThan">
      <formula>0.1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2" operator="containsText" text="MAJORITARIAMENTE BENS">
      <formula>NOT(ISERROR(SEARCH("MAJORITARIAMENTE BENS",Q3)))</formula>
    </cfRule>
    <cfRule type="containsText" dxfId="8" priority="1" operator="containsText" text="APENAS BENS">
      <formula>NOT(ISERROR(SEARCH("APENAS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6" operator="containsText" text="SERVIÇOS">
      <formula>NOT(ISERROR(SEARCH("SERVIÇOS",S3)))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4" operator="containsText" text="APENAS BENS">
      <formula>NOT(ISERROR(SEARCH("APENAS BENS",S3)))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G26" sqref="G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tabSelected="1" zoomScale="70" zoomScaleNormal="70" workbookViewId="0">
      <selection activeCell="L24" sqref="L24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9">
        <f>J23-K23</f>
        <v>3950.68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dimension ref="A1:M28"/>
  <sheetViews>
    <sheetView zoomScale="70" zoomScaleNormal="70" workbookViewId="0">
      <selection activeCell="F10" sqref="F10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dimension ref="A1:M24"/>
  <sheetViews>
    <sheetView zoomScale="70" zoomScaleNormal="70" workbookViewId="0">
      <selection activeCell="E3" sqref="E3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dimension ref="A1:M51"/>
  <sheetViews>
    <sheetView zoomScale="70" zoomScaleNormal="70" workbookViewId="0">
      <selection sqref="A1:M1048576"/>
    </sheetView>
  </sheetViews>
  <sheetFormatPr defaultRowHeight="15.6" x14ac:dyDescent="0.3"/>
  <cols>
    <col min="1" max="1" width="9" bestFit="1" customWidth="1"/>
    <col min="2" max="2" width="18.8984375" bestFit="1" customWidth="1"/>
    <col min="3" max="3" width="14.3984375" bestFit="1" customWidth="1"/>
    <col min="4" max="4" width="10.59765625" bestFit="1" customWidth="1"/>
    <col min="5" max="5" width="14.19921875" bestFit="1" customWidth="1"/>
    <col min="6" max="6" width="15.59765625" bestFit="1" customWidth="1"/>
    <col min="7" max="7" width="43.8984375" style="1" bestFit="1" customWidth="1"/>
    <col min="8" max="8" width="18.09765625" bestFit="1" customWidth="1"/>
    <col min="9" max="9" width="22.19921875" bestFit="1" customWidth="1"/>
    <col min="10" max="10" width="27.69921875" bestFit="1" customWidth="1"/>
    <col min="11" max="11" width="30" style="85" bestFit="1" customWidth="1"/>
    <col min="12" max="12" width="15.59765625" style="43" bestFit="1" customWidth="1"/>
    <col min="13" max="13" width="21.3984375" bestFit="1" customWidth="1"/>
  </cols>
  <sheetData>
    <row r="1" spans="1:13" ht="31.2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dimension ref="A1:M77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/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dimension ref="A1:M48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dimension ref="A1:M5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/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dimension ref="A1:M21"/>
  <sheetViews>
    <sheetView zoomScale="70" zoomScaleNormal="70" workbookViewId="0">
      <selection activeCell="K31" sqref="K3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/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dimension ref="A1:M2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dimension ref="A1:M40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dimension ref="A1:M59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dimension ref="A1:M63"/>
  <sheetViews>
    <sheetView zoomScale="70" zoomScaleNormal="70" workbookViewId="0">
      <selection sqref="A1:M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/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dimension ref="A1:M41"/>
  <sheetViews>
    <sheetView zoomScale="70" zoomScaleNormal="70" workbookViewId="0">
      <selection activeCell="O26" sqref="O2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/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dimension ref="A1:M27"/>
  <sheetViews>
    <sheetView zoomScale="70" zoomScaleNormal="70" workbookViewId="0">
      <selection activeCell="K27" sqref="K2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2026-05-21T16:45:16Z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