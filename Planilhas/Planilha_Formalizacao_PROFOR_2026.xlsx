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rcelo.cortez\Downloads\"/>
    </mc:Choice>
  </mc:AlternateContent>
  <xr:revisionPtr revIDLastSave="0" documentId="13_ncr:1_{66BA8E4F-6005-4306-BE17-00C105E572B0}" xr6:coauthVersionLast="47" xr6:coauthVersionMax="47" xr10:uidLastSave="{00000000-0000-0000-0000-000000000000}"/>
  <bookViews>
    <workbookView xWindow="-28920" yWindow="-1680" windowWidth="29040" windowHeight="15720" xr2:uid="{00000000-000D-0000-FFFF-FFFF00000000}"/>
  </bookViews>
  <sheets>
    <sheet name="Painel_Propostas" sheetId="1" r:id="rId1"/>
    <sheet name="Checklist_Documentos" sheetId="2" r:id="rId2"/>
    <sheet name="Dicionario_Documentos" sheetId="3" r:id="rId3"/>
    <sheet name="Gestores_Responsaveis" sheetId="4" r:id="rId4"/>
    <sheet name="Parametros" sheetId="5" r:id="rId5"/>
    <sheet name="Validacoes" sheetId="6" r:id="rId6"/>
    <sheet name="Referencias" sheetId="7" r:id="rId7"/>
    <sheet name="Plano_AP" sheetId="8" r:id="rId8"/>
    <sheet name="Plano_BA" sheetId="9" r:id="rId9"/>
    <sheet name="Plano_CE" sheetId="10" r:id="rId10"/>
    <sheet name="Plano_DF" sheetId="11" r:id="rId11"/>
    <sheet name="Plano_ES" sheetId="12" r:id="rId12"/>
    <sheet name="Plano_MG" sheetId="13" r:id="rId13"/>
    <sheet name="Plano_PA" sheetId="14" r:id="rId14"/>
    <sheet name="Plano_PE" sheetId="15" r:id="rId15"/>
    <sheet name="Plano_RN" sheetId="16" r:id="rId16"/>
    <sheet name="Plano_RS" sheetId="17" r:id="rId17"/>
    <sheet name="Plano_SE" sheetId="18" r:id="rId18"/>
    <sheet name="Plano_RR" sheetId="19" r:id="rId19"/>
    <sheet name="Plano_GO" sheetId="20" r:id="rId20"/>
    <sheet name="Plano_AM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6" l="1"/>
  <c r="G15" i="6"/>
  <c r="F15" i="6"/>
  <c r="B15" i="6"/>
  <c r="A15" i="6"/>
  <c r="J14" i="6"/>
  <c r="I14" i="6"/>
  <c r="G14" i="6"/>
  <c r="F14" i="6"/>
  <c r="B14" i="6"/>
  <c r="A14" i="6"/>
  <c r="G13" i="6"/>
  <c r="F13" i="6"/>
  <c r="B13" i="6"/>
  <c r="A13" i="6"/>
  <c r="H12" i="6"/>
  <c r="G12" i="6"/>
  <c r="F12" i="6"/>
  <c r="B12" i="6"/>
  <c r="A12" i="6"/>
  <c r="J11" i="6"/>
  <c r="H11" i="6"/>
  <c r="G11" i="6"/>
  <c r="F11" i="6"/>
  <c r="B11" i="6"/>
  <c r="A11" i="6"/>
  <c r="G10" i="6"/>
  <c r="F10" i="6"/>
  <c r="B10" i="6"/>
  <c r="A10" i="6"/>
  <c r="I9" i="6"/>
  <c r="H9" i="6"/>
  <c r="G9" i="6"/>
  <c r="F9" i="6"/>
  <c r="B9" i="6"/>
  <c r="A9" i="6"/>
  <c r="G8" i="6"/>
  <c r="F8" i="6"/>
  <c r="D8" i="6"/>
  <c r="E8" i="6" s="1"/>
  <c r="K8" i="6" s="1"/>
  <c r="C8" i="6"/>
  <c r="B8" i="6"/>
  <c r="A8" i="6"/>
  <c r="G7" i="6"/>
  <c r="F7" i="6"/>
  <c r="B7" i="6"/>
  <c r="A7" i="6"/>
  <c r="J6" i="6"/>
  <c r="I6" i="6"/>
  <c r="G6" i="6"/>
  <c r="F6" i="6"/>
  <c r="B6" i="6"/>
  <c r="A6" i="6"/>
  <c r="G5" i="6"/>
  <c r="F5" i="6"/>
  <c r="B5" i="6"/>
  <c r="A5" i="6"/>
  <c r="H4" i="6"/>
  <c r="G4" i="6"/>
  <c r="F4" i="6"/>
  <c r="B4" i="6"/>
  <c r="A4" i="6"/>
  <c r="J3" i="6"/>
  <c r="G3" i="6"/>
  <c r="F3" i="6"/>
  <c r="B3" i="6"/>
  <c r="A3" i="6"/>
  <c r="G2" i="6"/>
  <c r="F2" i="6"/>
  <c r="B2" i="6"/>
  <c r="A2" i="6"/>
  <c r="AQ15" i="1"/>
  <c r="AP15" i="1"/>
  <c r="AO15" i="1"/>
  <c r="J15" i="6" s="1"/>
  <c r="AN15" i="1"/>
  <c r="I15" i="6" s="1"/>
  <c r="AL15" i="1"/>
  <c r="AM15" i="1" s="1"/>
  <c r="P15" i="1"/>
  <c r="C15" i="6" s="1"/>
  <c r="AQ14" i="1"/>
  <c r="H14" i="6" s="1"/>
  <c r="AP14" i="1"/>
  <c r="AO14" i="1"/>
  <c r="AN14" i="1"/>
  <c r="AM14" i="1"/>
  <c r="AL14" i="1"/>
  <c r="D14" i="6" s="1"/>
  <c r="P14" i="1"/>
  <c r="C14" i="6" s="1"/>
  <c r="AQ13" i="1"/>
  <c r="H13" i="6" s="1"/>
  <c r="AP13" i="1"/>
  <c r="AO13" i="1"/>
  <c r="J13" i="6" s="1"/>
  <c r="AN13" i="1"/>
  <c r="I13" i="6" s="1"/>
  <c r="AL13" i="1"/>
  <c r="D13" i="6" s="1"/>
  <c r="E13" i="6" s="1"/>
  <c r="K13" i="6" s="1"/>
  <c r="P13" i="1"/>
  <c r="C13" i="6" s="1"/>
  <c r="AQ12" i="1"/>
  <c r="AP12" i="1"/>
  <c r="AO12" i="1"/>
  <c r="J12" i="6" s="1"/>
  <c r="AN12" i="1"/>
  <c r="I12" i="6" s="1"/>
  <c r="AL12" i="1"/>
  <c r="D12" i="6" s="1"/>
  <c r="P12" i="1"/>
  <c r="C12" i="6" s="1"/>
  <c r="AQ11" i="1"/>
  <c r="AP11" i="1"/>
  <c r="AO11" i="1"/>
  <c r="AN11" i="1"/>
  <c r="I11" i="6" s="1"/>
  <c r="AL11" i="1"/>
  <c r="AM11" i="1" s="1"/>
  <c r="P11" i="1"/>
  <c r="C11" i="6" s="1"/>
  <c r="AQ10" i="1"/>
  <c r="H10" i="6" s="1"/>
  <c r="AP10" i="1"/>
  <c r="AO10" i="1"/>
  <c r="J10" i="6" s="1"/>
  <c r="AN10" i="1"/>
  <c r="I10" i="6" s="1"/>
  <c r="AL10" i="1"/>
  <c r="AM10" i="1" s="1"/>
  <c r="P10" i="1"/>
  <c r="C10" i="6" s="1"/>
  <c r="AQ9" i="1"/>
  <c r="AP9" i="1"/>
  <c r="AO9" i="1"/>
  <c r="J9" i="6" s="1"/>
  <c r="AN9" i="1"/>
  <c r="AL9" i="1"/>
  <c r="AM9" i="1" s="1"/>
  <c r="P9" i="1"/>
  <c r="C9" i="6" s="1"/>
  <c r="AQ8" i="1"/>
  <c r="H8" i="6" s="1"/>
  <c r="AP8" i="1"/>
  <c r="AO8" i="1"/>
  <c r="J8" i="6" s="1"/>
  <c r="AN8" i="1"/>
  <c r="I8" i="6" s="1"/>
  <c r="AL8" i="1"/>
  <c r="AM8" i="1" s="1"/>
  <c r="P8" i="1"/>
  <c r="AQ7" i="1"/>
  <c r="H7" i="6" s="1"/>
  <c r="AP7" i="1"/>
  <c r="AO7" i="1"/>
  <c r="J7" i="6" s="1"/>
  <c r="AN7" i="1"/>
  <c r="I7" i="6" s="1"/>
  <c r="AM7" i="1"/>
  <c r="AL7" i="1"/>
  <c r="D7" i="6" s="1"/>
  <c r="P7" i="1"/>
  <c r="C7" i="6" s="1"/>
  <c r="AQ6" i="1"/>
  <c r="H6" i="6" s="1"/>
  <c r="AP6" i="1"/>
  <c r="AO6" i="1"/>
  <c r="AN6" i="1"/>
  <c r="AL6" i="1"/>
  <c r="AM6" i="1" s="1"/>
  <c r="P6" i="1"/>
  <c r="C6" i="6" s="1"/>
  <c r="AQ5" i="1"/>
  <c r="H5" i="6" s="1"/>
  <c r="AP5" i="1"/>
  <c r="AO5" i="1"/>
  <c r="J5" i="6" s="1"/>
  <c r="AN5" i="1"/>
  <c r="I5" i="6" s="1"/>
  <c r="AL5" i="1"/>
  <c r="AM5" i="1" s="1"/>
  <c r="P5" i="1"/>
  <c r="C5" i="6" s="1"/>
  <c r="AQ4" i="1"/>
  <c r="AP4" i="1"/>
  <c r="AO4" i="1"/>
  <c r="J4" i="6" s="1"/>
  <c r="AN4" i="1"/>
  <c r="I4" i="6" s="1"/>
  <c r="AL4" i="1"/>
  <c r="D4" i="6" s="1"/>
  <c r="P4" i="1"/>
  <c r="C4" i="6" s="1"/>
  <c r="AQ3" i="1"/>
  <c r="H3" i="6" s="1"/>
  <c r="AP3" i="1"/>
  <c r="AO3" i="1"/>
  <c r="AN3" i="1"/>
  <c r="I3" i="6" s="1"/>
  <c r="AL3" i="1"/>
  <c r="D3" i="6" s="1"/>
  <c r="P3" i="1"/>
  <c r="C3" i="6" s="1"/>
  <c r="AQ2" i="1"/>
  <c r="H2" i="6" s="1"/>
  <c r="AP2" i="1"/>
  <c r="AO2" i="1"/>
  <c r="J2" i="6" s="1"/>
  <c r="AN2" i="1"/>
  <c r="I2" i="6" s="1"/>
  <c r="AL2" i="1"/>
  <c r="AM2" i="1" s="1"/>
  <c r="P2" i="1"/>
  <c r="C2" i="6" s="1"/>
  <c r="E4" i="6" l="1"/>
  <c r="K4" i="6" s="1"/>
  <c r="E12" i="6"/>
  <c r="K12" i="6" s="1"/>
  <c r="E3" i="6"/>
  <c r="K3" i="6" s="1"/>
  <c r="E7" i="6"/>
  <c r="K7" i="6" s="1"/>
  <c r="E14" i="6"/>
  <c r="K14" i="6" s="1"/>
  <c r="AM13" i="1"/>
  <c r="AM3" i="1"/>
  <c r="D15" i="6"/>
  <c r="E15" i="6" s="1"/>
  <c r="K15" i="6" s="1"/>
  <c r="D2" i="6"/>
  <c r="E2" i="6" s="1"/>
  <c r="K2" i="6" s="1"/>
  <c r="D10" i="6"/>
  <c r="E10" i="6" s="1"/>
  <c r="K10" i="6" s="1"/>
  <c r="D5" i="6"/>
  <c r="E5" i="6" s="1"/>
  <c r="K5" i="6" s="1"/>
  <c r="AM12" i="1"/>
  <c r="D11" i="6"/>
  <c r="E11" i="6" s="1"/>
  <c r="K11" i="6" s="1"/>
  <c r="D6" i="6"/>
  <c r="E6" i="6" s="1"/>
  <c r="K6" i="6" s="1"/>
  <c r="AM4" i="1"/>
  <c r="D9" i="6"/>
  <c r="E9" i="6" s="1"/>
  <c r="K9" i="6" s="1"/>
</calcChain>
</file>

<file path=xl/sharedStrings.xml><?xml version="1.0" encoding="utf-8"?>
<sst xmlns="http://schemas.openxmlformats.org/spreadsheetml/2006/main" count="5665" uniqueCount="917">
  <si>
    <t>ID_Proposta</t>
  </si>
  <si>
    <t>UF</t>
  </si>
  <si>
    <t>Estado</t>
  </si>
  <si>
    <t>Grupo</t>
  </si>
  <si>
    <t>Nº Proposta</t>
  </si>
  <si>
    <t>Ano</t>
  </si>
  <si>
    <t>Status Geral</t>
  </si>
  <si>
    <t>Órgão/Secretaria</t>
  </si>
  <si>
    <t>Nome do Secretário</t>
  </si>
  <si>
    <t>Cargo</t>
  </si>
  <si>
    <t>E-mail Gestor</t>
  </si>
  <si>
    <t>Responsável Técnico</t>
  </si>
  <si>
    <t>E-mail Resp. Técnico</t>
  </si>
  <si>
    <t>Valor Repasse</t>
  </si>
  <si>
    <t>Valor Contrapartida</t>
  </si>
  <si>
    <t>Valor Global</t>
  </si>
  <si>
    <t>Ato normativo exigido?</t>
  </si>
  <si>
    <t>Ato normativo enviado?</t>
  </si>
  <si>
    <t>Fala.BR previsto no cronograma?</t>
  </si>
  <si>
    <t>DOC_PROJ_01</t>
  </si>
  <si>
    <t>DOC_PROJ_02</t>
  </si>
  <si>
    <t>DOC_PROJ_03</t>
  </si>
  <si>
    <t>DOC_PROJ_04</t>
  </si>
  <si>
    <t>DOC_PROJ_05</t>
  </si>
  <si>
    <t>DOC_FORM_01</t>
  </si>
  <si>
    <t>DOC_FORM_02</t>
  </si>
  <si>
    <t>DOC_FORM_03</t>
  </si>
  <si>
    <t>DOC_FORM_04</t>
  </si>
  <si>
    <t>DOC_FORM_05</t>
  </si>
  <si>
    <t>DOC_FORM_06</t>
  </si>
  <si>
    <t>DOC_FORM_07</t>
  </si>
  <si>
    <t>DOC_FORM_08</t>
  </si>
  <si>
    <t>DOC_FORM_09</t>
  </si>
  <si>
    <t>DOC_FORM_10</t>
  </si>
  <si>
    <t>DOC_FORM_11</t>
  </si>
  <si>
    <t>DOC_FORM_12</t>
  </si>
  <si>
    <t>DOC_FORM_13</t>
  </si>
  <si>
    <t>Soma Plano Aplicação</t>
  </si>
  <si>
    <t>Divergência Valor Global?</t>
  </si>
  <si>
    <t>% Docs Projeto</t>
  </si>
  <si>
    <t>% Docs Formalização</t>
  </si>
  <si>
    <t>% Geral Docs</t>
  </si>
  <si>
    <t>Condição Suspensiva Pendente?</t>
  </si>
  <si>
    <t>Última Atualização</t>
  </si>
  <si>
    <t>Observações</t>
  </si>
  <si>
    <t>Fonte/Origem</t>
  </si>
  <si>
    <t>AP-2026-001</t>
  </si>
  <si>
    <t>AP</t>
  </si>
  <si>
    <t>Amapá</t>
  </si>
  <si>
    <t>Grupo 2 - Reforço institucional</t>
  </si>
  <si>
    <t>900001/2026</t>
  </si>
  <si>
    <t>Projeto aprovado</t>
  </si>
  <si>
    <t>Secretaria de Administração Penitenciária do Amapá</t>
  </si>
  <si>
    <t>Ana Paula Monteiro</t>
  </si>
  <si>
    <t>Secretário(a) estadual</t>
  </si>
  <si>
    <t>gabinete.ap@estado.simulado.gov.br</t>
  </si>
  <si>
    <t>Rafael Lima</t>
  </si>
  <si>
    <t>profor.ap@estado.simulado.gov.br</t>
  </si>
  <si>
    <t>Não</t>
  </si>
  <si>
    <t>Não se aplica</t>
  </si>
  <si>
    <t>Sim</t>
  </si>
  <si>
    <t>Preenchimento simulado para modelagem da página de formalização.</t>
  </si>
  <si>
    <t>Base simulada ONASP/PROFOR</t>
  </si>
  <si>
    <t>BA-2026-002</t>
  </si>
  <si>
    <t>BA</t>
  </si>
  <si>
    <t>Bahia</t>
  </si>
  <si>
    <t>900002/2026</t>
  </si>
  <si>
    <t>Em análise de formalização</t>
  </si>
  <si>
    <t>Secretaria de Administração Penitenciária e Ressocialização da Bahia</t>
  </si>
  <si>
    <t>Bruno Reis Almeida</t>
  </si>
  <si>
    <t>gabinete.ba@estado.simulado.gov.br</t>
  </si>
  <si>
    <t>Mariana Torres</t>
  </si>
  <si>
    <t>profor.ba@estado.simulado.gov.br</t>
  </si>
  <si>
    <t>CE-2026-003</t>
  </si>
  <si>
    <t>CE</t>
  </si>
  <si>
    <t>Ceará</t>
  </si>
  <si>
    <t>900003/2026</t>
  </si>
  <si>
    <t>Em complementação pelo Estado</t>
  </si>
  <si>
    <t>Secretaria da Administração Penitenciária e Ressocialização do Ceará</t>
  </si>
  <si>
    <t>Camila Nogueira Lima</t>
  </si>
  <si>
    <t>gabinete.ce@estado.simulado.gov.br</t>
  </si>
  <si>
    <t>Paulo César</t>
  </si>
  <si>
    <t>profor.ce@estado.simulado.gov.br</t>
  </si>
  <si>
    <t>DF-2026-004</t>
  </si>
  <si>
    <t>DF</t>
  </si>
  <si>
    <t>Distrito Federal</t>
  </si>
  <si>
    <t>900004/2026</t>
  </si>
  <si>
    <t>Apta à celebração</t>
  </si>
  <si>
    <t>Secretaria de Estado de Administração Penitenciária do Distrito Federal</t>
  </si>
  <si>
    <t>Daniel Freitas Rocha</t>
  </si>
  <si>
    <t>gabinete.df@estado.simulado.gov.br</t>
  </si>
  <si>
    <t>Lúcia Amaral</t>
  </si>
  <si>
    <t>profor.df@estado.simulado.gov.br</t>
  </si>
  <si>
    <t>ES-2026-005</t>
  </si>
  <si>
    <t>ES</t>
  </si>
  <si>
    <t>Espírito Santo</t>
  </si>
  <si>
    <t>900005/2026</t>
  </si>
  <si>
    <t>Proposta cadastrada</t>
  </si>
  <si>
    <t>Secretaria de Estado da Justiça do Espírito Santo</t>
  </si>
  <si>
    <t>Eduarda Siqueira Martins</t>
  </si>
  <si>
    <t>gabinete.es@estado.simulado.gov.br</t>
  </si>
  <si>
    <t>Renato Peixoto</t>
  </si>
  <si>
    <t>profor.es@estado.simulado.gov.br</t>
  </si>
  <si>
    <t>MG-2026-006</t>
  </si>
  <si>
    <t>MG</t>
  </si>
  <si>
    <t>Minas Gerais</t>
  </si>
  <si>
    <t>900006/2026</t>
  </si>
  <si>
    <t>Em análise técnica</t>
  </si>
  <si>
    <t>Secretaria de Estado de Justiça e Segurança Pública de Minas Gerais</t>
  </si>
  <si>
    <t>Fernando Costa Andrade</t>
  </si>
  <si>
    <t>gabinete.mg@estado.simulado.gov.br</t>
  </si>
  <si>
    <t>Aline Campos</t>
  </si>
  <si>
    <t>profor.mg@estado.simulado.gov.br</t>
  </si>
  <si>
    <t>PA-2026-007</t>
  </si>
  <si>
    <t>PA</t>
  </si>
  <si>
    <t>Pará</t>
  </si>
  <si>
    <t>Grupo 1 - Condição suspensiva</t>
  </si>
  <si>
    <t>900007/2026</t>
  </si>
  <si>
    <t>Secretaria de Estado de Administração Penitenciária do Pará</t>
  </si>
  <si>
    <t>Gabriela Sousa Pinto</t>
  </si>
  <si>
    <t>gabinete.pa@estado.simulado.gov.br</t>
  </si>
  <si>
    <t>Carlos Sena</t>
  </si>
  <si>
    <t>profor.pa@estado.simulado.gov.br</t>
  </si>
  <si>
    <t>PE-2026-008</t>
  </si>
  <si>
    <t>PE</t>
  </si>
  <si>
    <t>Pernambuco</t>
  </si>
  <si>
    <t>900008/2026</t>
  </si>
  <si>
    <t>Secretaria de Administração Penitenciária e Ressocialização de Pernambuco</t>
  </si>
  <si>
    <t>Henrique Moraes Cavalcanti</t>
  </si>
  <si>
    <t>gabinete.pe@estado.simulado.gov.br</t>
  </si>
  <si>
    <t>Viviane Rocha</t>
  </si>
  <si>
    <t>profor.pe@estado.simulado.gov.br</t>
  </si>
  <si>
    <t>RN-2026-009</t>
  </si>
  <si>
    <t>RN</t>
  </si>
  <si>
    <t>Rio Grande do Norte</t>
  </si>
  <si>
    <t>900009/2026</t>
  </si>
  <si>
    <t>Em análise do projeto</t>
  </si>
  <si>
    <t>Secretaria de Estado da Administração Penitenciária do Rio Grande do Norte</t>
  </si>
  <si>
    <t>Isabela Duarte Alves</t>
  </si>
  <si>
    <t>gabinete.rn@estado.simulado.gov.br</t>
  </si>
  <si>
    <t>Sérgio Dantas</t>
  </si>
  <si>
    <t>profor.rn@estado.simulado.gov.br</t>
  </si>
  <si>
    <t>RS-2026-010</t>
  </si>
  <si>
    <t>RS</t>
  </si>
  <si>
    <t>Rio Grande do Sul</t>
  </si>
  <si>
    <t>900010/2026</t>
  </si>
  <si>
    <t>Apta à formalização</t>
  </si>
  <si>
    <t>Secretaria de Sistemas Penal e Socioeducativo do Rio Grande do Sul</t>
  </si>
  <si>
    <t>João Ricardo Weber</t>
  </si>
  <si>
    <t>gabinete.rs@estado.simulado.gov.br</t>
  </si>
  <si>
    <t>Patrícia Müller</t>
  </si>
  <si>
    <t>profor.rs@estado.simulado.gov.br</t>
  </si>
  <si>
    <t>SE-2026-011</t>
  </si>
  <si>
    <t>SE</t>
  </si>
  <si>
    <t>Sergipe</t>
  </si>
  <si>
    <t>900011/2026</t>
  </si>
  <si>
    <t>Formalização pendente</t>
  </si>
  <si>
    <t>Secretaria de Estado da Justiça e de Defesa do Consumidor de Sergipe</t>
  </si>
  <si>
    <t>Larissa Barreto Santos</t>
  </si>
  <si>
    <t>gabinete.se@estado.simulado.gov.br</t>
  </si>
  <si>
    <t>Tiago Melo</t>
  </si>
  <si>
    <t>profor.se@estado.simulado.gov.br</t>
  </si>
  <si>
    <t>RR-2026-012</t>
  </si>
  <si>
    <t>RR</t>
  </si>
  <si>
    <t>Roraima</t>
  </si>
  <si>
    <t>900012/2026</t>
  </si>
  <si>
    <t>Secretaria de Estado da Justiça e da Cidadania de Roraima</t>
  </si>
  <si>
    <t>Marcos Vinícius Mota</t>
  </si>
  <si>
    <t>gabinete.rr@estado.simulado.gov.br</t>
  </si>
  <si>
    <t>Bianca Araújo</t>
  </si>
  <si>
    <t>profor.rr@estado.simulado.gov.br</t>
  </si>
  <si>
    <t>GO-2026-013</t>
  </si>
  <si>
    <t>GO</t>
  </si>
  <si>
    <t>Goiás</t>
  </si>
  <si>
    <t>900013/2026</t>
  </si>
  <si>
    <t>Diretoria-Geral de Polícia Penal de Goiás</t>
  </si>
  <si>
    <t>Natália Guimarães Prado</t>
  </si>
  <si>
    <t>gabinete.go@estado.simulado.gov.br</t>
  </si>
  <si>
    <t>Felipe Batista</t>
  </si>
  <si>
    <t>profor.go@estado.simulado.gov.br</t>
  </si>
  <si>
    <t>AM-2026-014</t>
  </si>
  <si>
    <t>AM</t>
  </si>
  <si>
    <t>Amazonas</t>
  </si>
  <si>
    <t>900014/2026</t>
  </si>
  <si>
    <t>Secretaria de Estado de Administração Penitenciária do Amazonas</t>
  </si>
  <si>
    <t>Otávio Henrique Barros</t>
  </si>
  <si>
    <t>gabinete.am@estado.simulado.gov.br</t>
  </si>
  <si>
    <t>Márcia Oliveira</t>
  </si>
  <si>
    <t>profor.am@estado.simulado.gov.br</t>
  </si>
  <si>
    <t>ID_Checklist</t>
  </si>
  <si>
    <t>Etapa</t>
  </si>
  <si>
    <t>Código Documento</t>
  </si>
  <si>
    <t>Nome Documento</t>
  </si>
  <si>
    <t>Obrigatório?</t>
  </si>
  <si>
    <t>Enviado?</t>
  </si>
  <si>
    <t>Data Envio</t>
  </si>
  <si>
    <t>Status Análise</t>
  </si>
  <si>
    <t>Unidade Responsável</t>
  </si>
  <si>
    <t>Link SEI/Transferegov</t>
  </si>
  <si>
    <t>Pendência</t>
  </si>
  <si>
    <t>Data Validação</t>
  </si>
  <si>
    <t>Observação</t>
  </si>
  <si>
    <t>AP-2026-001-DOC_PROJ_01</t>
  </si>
  <si>
    <t>Projeto</t>
  </si>
  <si>
    <t>Plano de Trabalho</t>
  </si>
  <si>
    <t>Validado</t>
  </si>
  <si>
    <t>ONASP</t>
  </si>
  <si>
    <t>SEI_SIMULADO/AP-2026-001/DOC_PROJ_01</t>
  </si>
  <si>
    <t>Linha simulada para teste de trilha de formalização.</t>
  </si>
  <si>
    <t>AP-2026-001-DOC_PROJ_02</t>
  </si>
  <si>
    <t>Cronograma físico</t>
  </si>
  <si>
    <t>SEI_SIMULADO/AP-2026-001/DOC_PROJ_02</t>
  </si>
  <si>
    <t>AP-2026-001-DOC_PROJ_03</t>
  </si>
  <si>
    <t>Plano de aplicação detalhado</t>
  </si>
  <si>
    <t>SEI_SIMULADO/AP-2026-001/DOC_PROJ_03</t>
  </si>
  <si>
    <t>AP-2026-001-DOC_PROJ_04</t>
  </si>
  <si>
    <t>Declaração de compatibilidade do objeto</t>
  </si>
  <si>
    <t>SEI_SIMULADO/AP-2026-001/DOC_PROJ_04</t>
  </si>
  <si>
    <t>AP-2026-001-DOC_PROJ_05</t>
  </si>
  <si>
    <t>Descrição da unidade beneficiária</t>
  </si>
  <si>
    <t>SEI_SIMULADO/AP-2026-001/DOC_PROJ_05</t>
  </si>
  <si>
    <t>AP-2026-001-DOC_FORM_01</t>
  </si>
  <si>
    <t>Formalização</t>
  </si>
  <si>
    <t>Comprovação de representação legal</t>
  </si>
  <si>
    <t>CGGIR</t>
  </si>
  <si>
    <t>SEI_SIMULADO/AP-2026-001/DOC_FORM_01</t>
  </si>
  <si>
    <t>AP-2026-001-DOC_FORM_02</t>
  </si>
  <si>
    <t>Ato de posse ou nomeação do gestor</t>
  </si>
  <si>
    <t>SEI_SIMULADO/AP-2026-001/DOC_FORM_02</t>
  </si>
  <si>
    <t>AP-2026-001-DOC_FORM_03</t>
  </si>
  <si>
    <t>Declaração de contrapartida financeira</t>
  </si>
  <si>
    <t>SEI_SIMULADO/AP-2026-001/DOC_FORM_03</t>
  </si>
  <si>
    <t>AP-2026-001-DOC_FORM_04</t>
  </si>
  <si>
    <t>Declaração de capacidade técnico-operacional do convenente</t>
  </si>
  <si>
    <t>SEI_SIMULADO/AP-2026-001/DOC_FORM_04</t>
  </si>
  <si>
    <t>AP-2026-001-DOC_FORM_05</t>
  </si>
  <si>
    <t>Regularidade fiscal/cadastral aplicável</t>
  </si>
  <si>
    <t>SEI_SIMULADO/AP-2026-001/DOC_FORM_05</t>
  </si>
  <si>
    <t>AP-2026-001-DOC_FORM_06</t>
  </si>
  <si>
    <t>Cadastro atualizado no Transferegov.br</t>
  </si>
  <si>
    <t>SEI_SIMULADO/AP-2026-001/DOC_FORM_06</t>
  </si>
  <si>
    <t>AP-2026-001-DOC_FORM_07</t>
  </si>
  <si>
    <t>Declaração de inexistência de impedimentos</t>
  </si>
  <si>
    <t>SEI_SIMULADO/AP-2026-001/DOC_FORM_07</t>
  </si>
  <si>
    <t>AP-2026-001-DOC_FORM_08</t>
  </si>
  <si>
    <t>Plano de sustentabilidade dos bens</t>
  </si>
  <si>
    <t>SEI_SIMULADO/AP-2026-001/DOC_FORM_08</t>
  </si>
  <si>
    <t>AP-2026-001-DOC_FORM_09</t>
  </si>
  <si>
    <t>Declaração de ciência das regras de execução</t>
  </si>
  <si>
    <t>SEI_SIMULADO/AP-2026-001/DOC_FORM_09</t>
  </si>
  <si>
    <t>AP-2026-001-DOC_FORM_10</t>
  </si>
  <si>
    <t>Indicação da conta específica</t>
  </si>
  <si>
    <t>SEI_SIMULADO/AP-2026-001/DOC_FORM_10</t>
  </si>
  <si>
    <t>AP-2026-001-DOC_FORM_11</t>
  </si>
  <si>
    <t>Minuta/termo de convênio validado</t>
  </si>
  <si>
    <t>Não enviado</t>
  </si>
  <si>
    <t>Aguardando envio pelo convenente.</t>
  </si>
  <si>
    <t>AP-2026-001-DOC_FORM_12</t>
  </si>
  <si>
    <t>Manifestação jurídica ou documento equivalente do ente</t>
  </si>
  <si>
    <t>AP-2026-001-DOC_FORM_13</t>
  </si>
  <si>
    <t>Autorização/anuência da autoridade competente</t>
  </si>
  <si>
    <t>BA-2026-002-DOC_PROJ_01</t>
  </si>
  <si>
    <t>SEI_SIMULADO/BA-2026-002/DOC_PROJ_01</t>
  </si>
  <si>
    <t>BA-2026-002-DOC_PROJ_02</t>
  </si>
  <si>
    <t>SEI_SIMULADO/BA-2026-002/DOC_PROJ_02</t>
  </si>
  <si>
    <t>BA-2026-002-DOC_PROJ_03</t>
  </si>
  <si>
    <t>Em análise</t>
  </si>
  <si>
    <t>SEI_SIMULADO/BA-2026-002/DOC_PROJ_03</t>
  </si>
  <si>
    <t>BA-2026-002-DOC_PROJ_04</t>
  </si>
  <si>
    <t>SEI_SIMULADO/BA-2026-002/DOC_PROJ_04</t>
  </si>
  <si>
    <t>BA-2026-002-DOC_PROJ_05</t>
  </si>
  <si>
    <t>SEI_SIMULADO/BA-2026-002/DOC_PROJ_05</t>
  </si>
  <si>
    <t>BA-2026-002-DOC_FORM_01</t>
  </si>
  <si>
    <t>SEI_SIMULADO/BA-2026-002/DOC_FORM_01</t>
  </si>
  <si>
    <t>BA-2026-002-DOC_FORM_02</t>
  </si>
  <si>
    <t>SEI_SIMULADO/BA-2026-002/DOC_FORM_02</t>
  </si>
  <si>
    <t>BA-2026-002-DOC_FORM_03</t>
  </si>
  <si>
    <t>SEI_SIMULADO/BA-2026-002/DOC_FORM_03</t>
  </si>
  <si>
    <t>BA-2026-002-DOC_FORM_04</t>
  </si>
  <si>
    <t>SEI_SIMULADO/BA-2026-002/DOC_FORM_04</t>
  </si>
  <si>
    <t>BA-2026-002-DOC_FORM_05</t>
  </si>
  <si>
    <t>SEI_SIMULADO/BA-2026-002/DOC_FORM_05</t>
  </si>
  <si>
    <t>BA-2026-002-DOC_FORM_06</t>
  </si>
  <si>
    <t>SEI_SIMULADO/BA-2026-002/DOC_FORM_06</t>
  </si>
  <si>
    <t>BA-2026-002-DOC_FORM_07</t>
  </si>
  <si>
    <t>SEI_SIMULADO/BA-2026-002/DOC_FORM_07</t>
  </si>
  <si>
    <t>BA-2026-002-DOC_FORM_08</t>
  </si>
  <si>
    <t>SEI_SIMULADO/BA-2026-002/DOC_FORM_08</t>
  </si>
  <si>
    <t>BA-2026-002-DOC_FORM_09</t>
  </si>
  <si>
    <t>BA-2026-002-DOC_FORM_10</t>
  </si>
  <si>
    <t>BA-2026-002-DOC_FORM_11</t>
  </si>
  <si>
    <t>BA-2026-002-DOC_FORM_12</t>
  </si>
  <si>
    <t>BA-2026-002-DOC_FORM_13</t>
  </si>
  <si>
    <t>CE-2026-003-DOC_PROJ_01</t>
  </si>
  <si>
    <t>SEI_SIMULADO/CE-2026-003/DOC_PROJ_01</t>
  </si>
  <si>
    <t>CE-2026-003-DOC_PROJ_02</t>
  </si>
  <si>
    <t>SEI_SIMULADO/CE-2026-003/DOC_PROJ_02</t>
  </si>
  <si>
    <t>CE-2026-003-DOC_PROJ_03</t>
  </si>
  <si>
    <t>SEI_SIMULADO/CE-2026-003/DOC_PROJ_03</t>
  </si>
  <si>
    <t>CE-2026-003-DOC_PROJ_04</t>
  </si>
  <si>
    <t>Pendente de correção</t>
  </si>
  <si>
    <t>SEI_SIMULADO/CE-2026-003/DOC_PROJ_04</t>
  </si>
  <si>
    <t>Revisar consistência das informações e reenviar versão ajustada.</t>
  </si>
  <si>
    <t>CE-2026-003-DOC_PROJ_05</t>
  </si>
  <si>
    <t>CE-2026-003-DOC_FORM_01</t>
  </si>
  <si>
    <t>SEI_SIMULADO/CE-2026-003/DOC_FORM_01</t>
  </si>
  <si>
    <t>CE-2026-003-DOC_FORM_02</t>
  </si>
  <si>
    <t>SEI_SIMULADO/CE-2026-003/DOC_FORM_02</t>
  </si>
  <si>
    <t>CE-2026-003-DOC_FORM_03</t>
  </si>
  <si>
    <t>SEI_SIMULADO/CE-2026-003/DOC_FORM_03</t>
  </si>
  <si>
    <t>CE-2026-003-DOC_FORM_04</t>
  </si>
  <si>
    <t>SEI_SIMULADO/CE-2026-003/DOC_FORM_04</t>
  </si>
  <si>
    <t>CE-2026-003-DOC_FORM_05</t>
  </si>
  <si>
    <t>SEI_SIMULADO/CE-2026-003/DOC_FORM_05</t>
  </si>
  <si>
    <t>CE-2026-003-DOC_FORM_06</t>
  </si>
  <si>
    <t>CE-2026-003-DOC_FORM_07</t>
  </si>
  <si>
    <t>CE-2026-003-DOC_FORM_08</t>
  </si>
  <si>
    <t>CE-2026-003-DOC_FORM_09</t>
  </si>
  <si>
    <t>CE-2026-003-DOC_FORM_10</t>
  </si>
  <si>
    <t>CE-2026-003-DOC_FORM_11</t>
  </si>
  <si>
    <t>CE-2026-003-DOC_FORM_12</t>
  </si>
  <si>
    <t>CE-2026-003-DOC_FORM_13</t>
  </si>
  <si>
    <t>DF-2026-004-DOC_PROJ_01</t>
  </si>
  <si>
    <t>SEI_SIMULADO/DF-2026-004/DOC_PROJ_01</t>
  </si>
  <si>
    <t>DF-2026-004-DOC_PROJ_02</t>
  </si>
  <si>
    <t>SEI_SIMULADO/DF-2026-004/DOC_PROJ_02</t>
  </si>
  <si>
    <t>DF-2026-004-DOC_PROJ_03</t>
  </si>
  <si>
    <t>SEI_SIMULADO/DF-2026-004/DOC_PROJ_03</t>
  </si>
  <si>
    <t>DF-2026-004-DOC_PROJ_04</t>
  </si>
  <si>
    <t>SEI_SIMULADO/DF-2026-004/DOC_PROJ_04</t>
  </si>
  <si>
    <t>DF-2026-004-DOC_PROJ_05</t>
  </si>
  <si>
    <t>SEI_SIMULADO/DF-2026-004/DOC_PROJ_05</t>
  </si>
  <si>
    <t>DF-2026-004-DOC_FORM_01</t>
  </si>
  <si>
    <t>SEI_SIMULADO/DF-2026-004/DOC_FORM_01</t>
  </si>
  <si>
    <t>DF-2026-004-DOC_FORM_02</t>
  </si>
  <si>
    <t>SEI_SIMULADO/DF-2026-004/DOC_FORM_02</t>
  </si>
  <si>
    <t>DF-2026-004-DOC_FORM_03</t>
  </si>
  <si>
    <t>SEI_SIMULADO/DF-2026-004/DOC_FORM_03</t>
  </si>
  <si>
    <t>DF-2026-004-DOC_FORM_04</t>
  </si>
  <si>
    <t>SEI_SIMULADO/DF-2026-004/DOC_FORM_04</t>
  </si>
  <si>
    <t>DF-2026-004-DOC_FORM_05</t>
  </si>
  <si>
    <t>SEI_SIMULADO/DF-2026-004/DOC_FORM_05</t>
  </si>
  <si>
    <t>DF-2026-004-DOC_FORM_06</t>
  </si>
  <si>
    <t>SEI_SIMULADO/DF-2026-004/DOC_FORM_06</t>
  </si>
  <si>
    <t>DF-2026-004-DOC_FORM_07</t>
  </si>
  <si>
    <t>SEI_SIMULADO/DF-2026-004/DOC_FORM_07</t>
  </si>
  <si>
    <t>DF-2026-004-DOC_FORM_08</t>
  </si>
  <si>
    <t>SEI_SIMULADO/DF-2026-004/DOC_FORM_08</t>
  </si>
  <si>
    <t>DF-2026-004-DOC_FORM_09</t>
  </si>
  <si>
    <t>SEI_SIMULADO/DF-2026-004/DOC_FORM_09</t>
  </si>
  <si>
    <t>DF-2026-004-DOC_FORM_10</t>
  </si>
  <si>
    <t>SEI_SIMULADO/DF-2026-004/DOC_FORM_10</t>
  </si>
  <si>
    <t>DF-2026-004-DOC_FORM_11</t>
  </si>
  <si>
    <t>SEI_SIMULADO/DF-2026-004/DOC_FORM_11</t>
  </si>
  <si>
    <t>DF-2026-004-DOC_FORM_12</t>
  </si>
  <si>
    <t>SEI_SIMULADO/DF-2026-004/DOC_FORM_12</t>
  </si>
  <si>
    <t>DF-2026-004-DOC_FORM_13</t>
  </si>
  <si>
    <t>SEI_SIMULADO/DF-2026-004/DOC_FORM_13</t>
  </si>
  <si>
    <t>ES-2026-005-DOC_PROJ_01</t>
  </si>
  <si>
    <t>SEI_SIMULADO/ES-2026-005/DOC_PROJ_01</t>
  </si>
  <si>
    <t>ES-2026-005-DOC_PROJ_02</t>
  </si>
  <si>
    <t>SEI_SIMULADO/ES-2026-005/DOC_PROJ_02</t>
  </si>
  <si>
    <t>ES-2026-005-DOC_PROJ_03</t>
  </si>
  <si>
    <t>SEI_SIMULADO/ES-2026-005/DOC_PROJ_03</t>
  </si>
  <si>
    <t>ES-2026-005-DOC_PROJ_04</t>
  </si>
  <si>
    <t>ES-2026-005-DOC_PROJ_05</t>
  </si>
  <si>
    <t>ES-2026-005-DOC_FORM_01</t>
  </si>
  <si>
    <t>SEI_SIMULADO/ES-2026-005/DOC_FORM_01</t>
  </si>
  <si>
    <t>ES-2026-005-DOC_FORM_02</t>
  </si>
  <si>
    <t>SEI_SIMULADO/ES-2026-005/DOC_FORM_02</t>
  </si>
  <si>
    <t>ES-2026-005-DOC_FORM_03</t>
  </si>
  <si>
    <t>ES-2026-005-DOC_FORM_04</t>
  </si>
  <si>
    <t>ES-2026-005-DOC_FORM_05</t>
  </si>
  <si>
    <t>ES-2026-005-DOC_FORM_06</t>
  </si>
  <si>
    <t>ES-2026-005-DOC_FORM_07</t>
  </si>
  <si>
    <t>ES-2026-005-DOC_FORM_08</t>
  </si>
  <si>
    <t>ES-2026-005-DOC_FORM_09</t>
  </si>
  <si>
    <t>ES-2026-005-DOC_FORM_10</t>
  </si>
  <si>
    <t>ES-2026-005-DOC_FORM_11</t>
  </si>
  <si>
    <t>ES-2026-005-DOC_FORM_12</t>
  </si>
  <si>
    <t>ES-2026-005-DOC_FORM_13</t>
  </si>
  <si>
    <t>MG-2026-006-DOC_PROJ_01</t>
  </si>
  <si>
    <t>SEI_SIMULADO/MG-2026-006/DOC_PROJ_01</t>
  </si>
  <si>
    <t>MG-2026-006-DOC_PROJ_02</t>
  </si>
  <si>
    <t>SEI_SIMULADO/MG-2026-006/DOC_PROJ_02</t>
  </si>
  <si>
    <t>MG-2026-006-DOC_PROJ_03</t>
  </si>
  <si>
    <t>SEI_SIMULADO/MG-2026-006/DOC_PROJ_03</t>
  </si>
  <si>
    <t>MG-2026-006-DOC_PROJ_04</t>
  </si>
  <si>
    <t>SEI_SIMULADO/MG-2026-006/DOC_PROJ_04</t>
  </si>
  <si>
    <t>MG-2026-006-DOC_PROJ_05</t>
  </si>
  <si>
    <t>MG-2026-006-DOC_FORM_01</t>
  </si>
  <si>
    <t>SEI_SIMULADO/MG-2026-006/DOC_FORM_01</t>
  </si>
  <si>
    <t>MG-2026-006-DOC_FORM_02</t>
  </si>
  <si>
    <t>SEI_SIMULADO/MG-2026-006/DOC_FORM_02</t>
  </si>
  <si>
    <t>MG-2026-006-DOC_FORM_03</t>
  </si>
  <si>
    <t>SEI_SIMULADO/MG-2026-006/DOC_FORM_03</t>
  </si>
  <si>
    <t>MG-2026-006-DOC_FORM_04</t>
  </si>
  <si>
    <t>SEI_SIMULADO/MG-2026-006/DOC_FORM_04</t>
  </si>
  <si>
    <t>MG-2026-006-DOC_FORM_05</t>
  </si>
  <si>
    <t>MG-2026-006-DOC_FORM_06</t>
  </si>
  <si>
    <t>MG-2026-006-DOC_FORM_07</t>
  </si>
  <si>
    <t>MG-2026-006-DOC_FORM_08</t>
  </si>
  <si>
    <t>MG-2026-006-DOC_FORM_09</t>
  </si>
  <si>
    <t>MG-2026-006-DOC_FORM_10</t>
  </si>
  <si>
    <t>MG-2026-006-DOC_FORM_11</t>
  </si>
  <si>
    <t>MG-2026-006-DOC_FORM_12</t>
  </si>
  <si>
    <t>MG-2026-006-DOC_FORM_13</t>
  </si>
  <si>
    <t>PA-2026-007-DOC_PROJ_01</t>
  </si>
  <si>
    <t>SEI_SIMULADO/PA-2026-007/DOC_PROJ_01</t>
  </si>
  <si>
    <t>PA-2026-007-DOC_PROJ_02</t>
  </si>
  <si>
    <t>SEI_SIMULADO/PA-2026-007/DOC_PROJ_02</t>
  </si>
  <si>
    <t>PA-2026-007-DOC_PROJ_03</t>
  </si>
  <si>
    <t>SEI_SIMULADO/PA-2026-007/DOC_PROJ_03</t>
  </si>
  <si>
    <t>PA-2026-007-DOC_PROJ_04</t>
  </si>
  <si>
    <t>SEI_SIMULADO/PA-2026-007/DOC_PROJ_04</t>
  </si>
  <si>
    <t>PA-2026-007-DOC_PROJ_05</t>
  </si>
  <si>
    <t>PA-2026-007-DOC_FORM_01</t>
  </si>
  <si>
    <t>SEI_SIMULADO/PA-2026-007/DOC_FORM_01</t>
  </si>
  <si>
    <t>PA-2026-007-DOC_FORM_02</t>
  </si>
  <si>
    <t>SEI_SIMULADO/PA-2026-007/DOC_FORM_02</t>
  </si>
  <si>
    <t>PA-2026-007-DOC_FORM_03</t>
  </si>
  <si>
    <t>SEI_SIMULADO/PA-2026-007/DOC_FORM_03</t>
  </si>
  <si>
    <t>PA-2026-007-DOC_FORM_04</t>
  </si>
  <si>
    <t>SEI_SIMULADO/PA-2026-007/DOC_FORM_04</t>
  </si>
  <si>
    <t>PA-2026-007-DOC_FORM_05</t>
  </si>
  <si>
    <t>SEI_SIMULADO/PA-2026-007/DOC_FORM_05</t>
  </si>
  <si>
    <t>PA-2026-007-DOC_FORM_06</t>
  </si>
  <si>
    <t>PA-2026-007-DOC_FORM_07</t>
  </si>
  <si>
    <t>PA-2026-007-DOC_FORM_08</t>
  </si>
  <si>
    <t>PA-2026-007-DOC_FORM_09</t>
  </si>
  <si>
    <t>PA-2026-007-DOC_FORM_10</t>
  </si>
  <si>
    <t>PA-2026-007-DOC_FORM_11</t>
  </si>
  <si>
    <t>PA-2026-007-DOC_FORM_12</t>
  </si>
  <si>
    <t>PA-2026-007-DOC_FORM_13</t>
  </si>
  <si>
    <t>PA-2026-007-DOC_COND_01</t>
  </si>
  <si>
    <t>Condição suspensiva</t>
  </si>
  <si>
    <t>DOC_COND_01</t>
  </si>
  <si>
    <t>Ato normativo publicado que institui ouvidoria própria de serviços penais</t>
  </si>
  <si>
    <t>ONASP/CGGIR</t>
  </si>
  <si>
    <t>Apresentar ato normativo publicado que institua ouvidoria própria de serviços penais.</t>
  </si>
  <si>
    <t>Condição específica aplicável às UFs do Grupo 1.</t>
  </si>
  <si>
    <t>PE-2026-008-DOC_PROJ_01</t>
  </si>
  <si>
    <t>SEI_SIMULADO/PE-2026-008/DOC_PROJ_01</t>
  </si>
  <si>
    <t>PE-2026-008-DOC_PROJ_02</t>
  </si>
  <si>
    <t>SEI_SIMULADO/PE-2026-008/DOC_PROJ_02</t>
  </si>
  <si>
    <t>PE-2026-008-DOC_PROJ_03</t>
  </si>
  <si>
    <t>SEI_SIMULADO/PE-2026-008/DOC_PROJ_03</t>
  </si>
  <si>
    <t>PE-2026-008-DOC_PROJ_04</t>
  </si>
  <si>
    <t>SEI_SIMULADO/PE-2026-008/DOC_PROJ_04</t>
  </si>
  <si>
    <t>PE-2026-008-DOC_PROJ_05</t>
  </si>
  <si>
    <t>SEI_SIMULADO/PE-2026-008/DOC_PROJ_05</t>
  </si>
  <si>
    <t>PE-2026-008-DOC_FORM_01</t>
  </si>
  <si>
    <t>SEI_SIMULADO/PE-2026-008/DOC_FORM_01</t>
  </si>
  <si>
    <t>PE-2026-008-DOC_FORM_02</t>
  </si>
  <si>
    <t>SEI_SIMULADO/PE-2026-008/DOC_FORM_02</t>
  </si>
  <si>
    <t>PE-2026-008-DOC_FORM_03</t>
  </si>
  <si>
    <t>SEI_SIMULADO/PE-2026-008/DOC_FORM_03</t>
  </si>
  <si>
    <t>PE-2026-008-DOC_FORM_04</t>
  </si>
  <si>
    <t>SEI_SIMULADO/PE-2026-008/DOC_FORM_04</t>
  </si>
  <si>
    <t>PE-2026-008-DOC_FORM_05</t>
  </si>
  <si>
    <t>SEI_SIMULADO/PE-2026-008/DOC_FORM_05</t>
  </si>
  <si>
    <t>PE-2026-008-DOC_FORM_06</t>
  </si>
  <si>
    <t>SEI_SIMULADO/PE-2026-008/DOC_FORM_06</t>
  </si>
  <si>
    <t>PE-2026-008-DOC_FORM_07</t>
  </si>
  <si>
    <t>SEI_SIMULADO/PE-2026-008/DOC_FORM_07</t>
  </si>
  <si>
    <t>PE-2026-008-DOC_FORM_08</t>
  </si>
  <si>
    <t>SEI_SIMULADO/PE-2026-008/DOC_FORM_08</t>
  </si>
  <si>
    <t>PE-2026-008-DOC_FORM_09</t>
  </si>
  <si>
    <t>SEI_SIMULADO/PE-2026-008/DOC_FORM_09</t>
  </si>
  <si>
    <t>PE-2026-008-DOC_FORM_10</t>
  </si>
  <si>
    <t>PE-2026-008-DOC_FORM_11</t>
  </si>
  <si>
    <t>PE-2026-008-DOC_FORM_12</t>
  </si>
  <si>
    <t>PE-2026-008-DOC_FORM_13</t>
  </si>
  <si>
    <t>RN-2026-009-DOC_PROJ_01</t>
  </si>
  <si>
    <t>SEI_SIMULADO/RN-2026-009/DOC_PROJ_01</t>
  </si>
  <si>
    <t>RN-2026-009-DOC_PROJ_02</t>
  </si>
  <si>
    <t>SEI_SIMULADO/RN-2026-009/DOC_PROJ_02</t>
  </si>
  <si>
    <t>RN-2026-009-DOC_PROJ_03</t>
  </si>
  <si>
    <t>SEI_SIMULADO/RN-2026-009/DOC_PROJ_03</t>
  </si>
  <si>
    <t>RN-2026-009-DOC_PROJ_04</t>
  </si>
  <si>
    <t>RN-2026-009-DOC_PROJ_05</t>
  </si>
  <si>
    <t>RN-2026-009-DOC_FORM_01</t>
  </si>
  <si>
    <t>SEI_SIMULADO/RN-2026-009/DOC_FORM_01</t>
  </si>
  <si>
    <t>RN-2026-009-DOC_FORM_02</t>
  </si>
  <si>
    <t>SEI_SIMULADO/RN-2026-009/DOC_FORM_02</t>
  </si>
  <si>
    <t>RN-2026-009-DOC_FORM_03</t>
  </si>
  <si>
    <t>SEI_SIMULADO/RN-2026-009/DOC_FORM_03</t>
  </si>
  <si>
    <t>RN-2026-009-DOC_FORM_04</t>
  </si>
  <si>
    <t>RN-2026-009-DOC_FORM_05</t>
  </si>
  <si>
    <t>RN-2026-009-DOC_FORM_06</t>
  </si>
  <si>
    <t>RN-2026-009-DOC_FORM_07</t>
  </si>
  <si>
    <t>RN-2026-009-DOC_FORM_08</t>
  </si>
  <si>
    <t>RN-2026-009-DOC_FORM_09</t>
  </si>
  <si>
    <t>RN-2026-009-DOC_FORM_10</t>
  </si>
  <si>
    <t>RN-2026-009-DOC_FORM_11</t>
  </si>
  <si>
    <t>RN-2026-009-DOC_FORM_12</t>
  </si>
  <si>
    <t>RN-2026-009-DOC_FORM_13</t>
  </si>
  <si>
    <t>RS-2026-010-DOC_PROJ_01</t>
  </si>
  <si>
    <t>SEI_SIMULADO/RS-2026-010/DOC_PROJ_01</t>
  </si>
  <si>
    <t>RS-2026-010-DOC_PROJ_02</t>
  </si>
  <si>
    <t>SEI_SIMULADO/RS-2026-010/DOC_PROJ_02</t>
  </si>
  <si>
    <t>RS-2026-010-DOC_PROJ_03</t>
  </si>
  <si>
    <t>SEI_SIMULADO/RS-2026-010/DOC_PROJ_03</t>
  </si>
  <si>
    <t>RS-2026-010-DOC_PROJ_04</t>
  </si>
  <si>
    <t>SEI_SIMULADO/RS-2026-010/DOC_PROJ_04</t>
  </si>
  <si>
    <t>RS-2026-010-DOC_PROJ_05</t>
  </si>
  <si>
    <t>SEI_SIMULADO/RS-2026-010/DOC_PROJ_05</t>
  </si>
  <si>
    <t>RS-2026-010-DOC_FORM_01</t>
  </si>
  <si>
    <t>SEI_SIMULADO/RS-2026-010/DOC_FORM_01</t>
  </si>
  <si>
    <t>RS-2026-010-DOC_FORM_02</t>
  </si>
  <si>
    <t>SEI_SIMULADO/RS-2026-010/DOC_FORM_02</t>
  </si>
  <si>
    <t>RS-2026-010-DOC_FORM_03</t>
  </si>
  <si>
    <t>SEI_SIMULADO/RS-2026-010/DOC_FORM_03</t>
  </si>
  <si>
    <t>RS-2026-010-DOC_FORM_04</t>
  </si>
  <si>
    <t>SEI_SIMULADO/RS-2026-010/DOC_FORM_04</t>
  </si>
  <si>
    <t>RS-2026-010-DOC_FORM_05</t>
  </si>
  <si>
    <t>SEI_SIMULADO/RS-2026-010/DOC_FORM_05</t>
  </si>
  <si>
    <t>RS-2026-010-DOC_FORM_06</t>
  </si>
  <si>
    <t>SEI_SIMULADO/RS-2026-010/DOC_FORM_06</t>
  </si>
  <si>
    <t>RS-2026-010-DOC_FORM_07</t>
  </si>
  <si>
    <t>SEI_SIMULADO/RS-2026-010/DOC_FORM_07</t>
  </si>
  <si>
    <t>RS-2026-010-DOC_FORM_08</t>
  </si>
  <si>
    <t>SEI_SIMULADO/RS-2026-010/DOC_FORM_08</t>
  </si>
  <si>
    <t>RS-2026-010-DOC_FORM_09</t>
  </si>
  <si>
    <t>RS-2026-010-DOC_FORM_10</t>
  </si>
  <si>
    <t>RS-2026-010-DOC_FORM_11</t>
  </si>
  <si>
    <t>RS-2026-010-DOC_FORM_12</t>
  </si>
  <si>
    <t>RS-2026-010-DOC_FORM_13</t>
  </si>
  <si>
    <t>RS-2026-010-DOC_COND_01</t>
  </si>
  <si>
    <t>SEI_SIMULADO/RS-2026-010/DOC_COND_01</t>
  </si>
  <si>
    <t>SE-2026-011-DOC_PROJ_01</t>
  </si>
  <si>
    <t>SEI_SIMULADO/SE-2026-011/DOC_PROJ_01</t>
  </si>
  <si>
    <t>SE-2026-011-DOC_PROJ_02</t>
  </si>
  <si>
    <t>SEI_SIMULADO/SE-2026-011/DOC_PROJ_02</t>
  </si>
  <si>
    <t>SE-2026-011-DOC_PROJ_03</t>
  </si>
  <si>
    <t>SEI_SIMULADO/SE-2026-011/DOC_PROJ_03</t>
  </si>
  <si>
    <t>SE-2026-011-DOC_PROJ_04</t>
  </si>
  <si>
    <t>SEI_SIMULADO/SE-2026-011/DOC_PROJ_04</t>
  </si>
  <si>
    <t>SE-2026-011-DOC_PROJ_05</t>
  </si>
  <si>
    <t>SE-2026-011-DOC_FORM_01</t>
  </si>
  <si>
    <t>SEI_SIMULADO/SE-2026-011/DOC_FORM_01</t>
  </si>
  <si>
    <t>SE-2026-011-DOC_FORM_02</t>
  </si>
  <si>
    <t>SEI_SIMULADO/SE-2026-011/DOC_FORM_02</t>
  </si>
  <si>
    <t>SE-2026-011-DOC_FORM_03</t>
  </si>
  <si>
    <t>SEI_SIMULADO/SE-2026-011/DOC_FORM_03</t>
  </si>
  <si>
    <t>SE-2026-011-DOC_FORM_04</t>
  </si>
  <si>
    <t>SEI_SIMULADO/SE-2026-011/DOC_FORM_04</t>
  </si>
  <si>
    <t>SE-2026-011-DOC_FORM_05</t>
  </si>
  <si>
    <t>SEI_SIMULADO/SE-2026-011/DOC_FORM_05</t>
  </si>
  <si>
    <t>SE-2026-011-DOC_FORM_06</t>
  </si>
  <si>
    <t>SEI_SIMULADO/SE-2026-011/DOC_FORM_06</t>
  </si>
  <si>
    <t>SE-2026-011-DOC_FORM_07</t>
  </si>
  <si>
    <t>SEI_SIMULADO/SE-2026-011/DOC_FORM_07</t>
  </si>
  <si>
    <t>SE-2026-011-DOC_FORM_08</t>
  </si>
  <si>
    <t>SE-2026-011-DOC_FORM_09</t>
  </si>
  <si>
    <t>SE-2026-011-DOC_FORM_10</t>
  </si>
  <si>
    <t>SE-2026-011-DOC_FORM_11</t>
  </si>
  <si>
    <t>SE-2026-011-DOC_FORM_12</t>
  </si>
  <si>
    <t>SE-2026-011-DOC_FORM_13</t>
  </si>
  <si>
    <t>SE-2026-011-DOC_COND_01</t>
  </si>
  <si>
    <t>RR-2026-012-DOC_PROJ_01</t>
  </si>
  <si>
    <t>SEI_SIMULADO/RR-2026-012/DOC_PROJ_01</t>
  </si>
  <si>
    <t>RR-2026-012-DOC_PROJ_02</t>
  </si>
  <si>
    <t>SEI_SIMULADO/RR-2026-012/DOC_PROJ_02</t>
  </si>
  <si>
    <t>RR-2026-012-DOC_PROJ_03</t>
  </si>
  <si>
    <t>SEI_SIMULADO/RR-2026-012/DOC_PROJ_03</t>
  </si>
  <si>
    <t>RR-2026-012-DOC_PROJ_04</t>
  </si>
  <si>
    <t>RR-2026-012-DOC_PROJ_05</t>
  </si>
  <si>
    <t>RR-2026-012-DOC_FORM_01</t>
  </si>
  <si>
    <t>SEI_SIMULADO/RR-2026-012/DOC_FORM_01</t>
  </si>
  <si>
    <t>RR-2026-012-DOC_FORM_02</t>
  </si>
  <si>
    <t>SEI_SIMULADO/RR-2026-012/DOC_FORM_02</t>
  </si>
  <si>
    <t>RR-2026-012-DOC_FORM_03</t>
  </si>
  <si>
    <t>SEI_SIMULADO/RR-2026-012/DOC_FORM_03</t>
  </si>
  <si>
    <t>RR-2026-012-DOC_FORM_04</t>
  </si>
  <si>
    <t>RR-2026-012-DOC_FORM_05</t>
  </si>
  <si>
    <t>RR-2026-012-DOC_FORM_06</t>
  </si>
  <si>
    <t>RR-2026-012-DOC_FORM_07</t>
  </si>
  <si>
    <t>RR-2026-012-DOC_FORM_08</t>
  </si>
  <si>
    <t>RR-2026-012-DOC_FORM_09</t>
  </si>
  <si>
    <t>RR-2026-012-DOC_FORM_10</t>
  </si>
  <si>
    <t>RR-2026-012-DOC_FORM_11</t>
  </si>
  <si>
    <t>RR-2026-012-DOC_FORM_12</t>
  </si>
  <si>
    <t>RR-2026-012-DOC_FORM_13</t>
  </si>
  <si>
    <t>RR-2026-012-DOC_COND_01</t>
  </si>
  <si>
    <t>GO-2026-013-DOC_PROJ_01</t>
  </si>
  <si>
    <t>SEI_SIMULADO/GO-2026-013/DOC_PROJ_01</t>
  </si>
  <si>
    <t>GO-2026-013-DOC_PROJ_02</t>
  </si>
  <si>
    <t>SEI_SIMULADO/GO-2026-013/DOC_PROJ_02</t>
  </si>
  <si>
    <t>GO-2026-013-DOC_PROJ_03</t>
  </si>
  <si>
    <t>SEI_SIMULADO/GO-2026-013/DOC_PROJ_03</t>
  </si>
  <si>
    <t>GO-2026-013-DOC_PROJ_04</t>
  </si>
  <si>
    <t>SEI_SIMULADO/GO-2026-013/DOC_PROJ_04</t>
  </si>
  <si>
    <t>GO-2026-013-DOC_PROJ_05</t>
  </si>
  <si>
    <t>SEI_SIMULADO/GO-2026-013/DOC_PROJ_05</t>
  </si>
  <si>
    <t>GO-2026-013-DOC_FORM_01</t>
  </si>
  <si>
    <t>SEI_SIMULADO/GO-2026-013/DOC_FORM_01</t>
  </si>
  <si>
    <t>GO-2026-013-DOC_FORM_02</t>
  </si>
  <si>
    <t>SEI_SIMULADO/GO-2026-013/DOC_FORM_02</t>
  </si>
  <si>
    <t>GO-2026-013-DOC_FORM_03</t>
  </si>
  <si>
    <t>SEI_SIMULADO/GO-2026-013/DOC_FORM_03</t>
  </si>
  <si>
    <t>GO-2026-013-DOC_FORM_04</t>
  </si>
  <si>
    <t>SEI_SIMULADO/GO-2026-013/DOC_FORM_04</t>
  </si>
  <si>
    <t>GO-2026-013-DOC_FORM_05</t>
  </si>
  <si>
    <t>SEI_SIMULADO/GO-2026-013/DOC_FORM_05</t>
  </si>
  <si>
    <t>GO-2026-013-DOC_FORM_06</t>
  </si>
  <si>
    <t>SEI_SIMULADO/GO-2026-013/DOC_FORM_06</t>
  </si>
  <si>
    <t>GO-2026-013-DOC_FORM_07</t>
  </si>
  <si>
    <t>SEI_SIMULADO/GO-2026-013/DOC_FORM_07</t>
  </si>
  <si>
    <t>GO-2026-013-DOC_FORM_08</t>
  </si>
  <si>
    <t>SEI_SIMULADO/GO-2026-013/DOC_FORM_08</t>
  </si>
  <si>
    <t>GO-2026-013-DOC_FORM_09</t>
  </si>
  <si>
    <t>SEI_SIMULADO/GO-2026-013/DOC_FORM_09</t>
  </si>
  <si>
    <t>GO-2026-013-DOC_FORM_10</t>
  </si>
  <si>
    <t>SEI_SIMULADO/GO-2026-013/DOC_FORM_10</t>
  </si>
  <si>
    <t>GO-2026-013-DOC_FORM_11</t>
  </si>
  <si>
    <t>SEI_SIMULADO/GO-2026-013/DOC_FORM_11</t>
  </si>
  <si>
    <t>GO-2026-013-DOC_FORM_12</t>
  </si>
  <si>
    <t>SEI_SIMULADO/GO-2026-013/DOC_FORM_12</t>
  </si>
  <si>
    <t>GO-2026-013-DOC_FORM_13</t>
  </si>
  <si>
    <t>AM-2026-014-DOC_PROJ_01</t>
  </si>
  <si>
    <t>SEI_SIMULADO/AM-2026-014/DOC_PROJ_01</t>
  </si>
  <si>
    <t>AM-2026-014-DOC_PROJ_02</t>
  </si>
  <si>
    <t>SEI_SIMULADO/AM-2026-014/DOC_PROJ_02</t>
  </si>
  <si>
    <t>AM-2026-014-DOC_PROJ_03</t>
  </si>
  <si>
    <t>SEI_SIMULADO/AM-2026-014/DOC_PROJ_03</t>
  </si>
  <si>
    <t>AM-2026-014-DOC_PROJ_04</t>
  </si>
  <si>
    <t>SEI_SIMULADO/AM-2026-014/DOC_PROJ_04</t>
  </si>
  <si>
    <t>AM-2026-014-DOC_PROJ_05</t>
  </si>
  <si>
    <t>SEI_SIMULADO/AM-2026-014/DOC_PROJ_05</t>
  </si>
  <si>
    <t>AM-2026-014-DOC_FORM_01</t>
  </si>
  <si>
    <t>SEI_SIMULADO/AM-2026-014/DOC_FORM_01</t>
  </si>
  <si>
    <t>AM-2026-014-DOC_FORM_02</t>
  </si>
  <si>
    <t>SEI_SIMULADO/AM-2026-014/DOC_FORM_02</t>
  </si>
  <si>
    <t>AM-2026-014-DOC_FORM_03</t>
  </si>
  <si>
    <t>SEI_SIMULADO/AM-2026-014/DOC_FORM_03</t>
  </si>
  <si>
    <t>AM-2026-014-DOC_FORM_04</t>
  </si>
  <si>
    <t>SEI_SIMULADO/AM-2026-014/DOC_FORM_04</t>
  </si>
  <si>
    <t>AM-2026-014-DOC_FORM_05</t>
  </si>
  <si>
    <t>SEI_SIMULADO/AM-2026-014/DOC_FORM_05</t>
  </si>
  <si>
    <t>AM-2026-014-DOC_FORM_06</t>
  </si>
  <si>
    <t>SEI_SIMULADO/AM-2026-014/DOC_FORM_06</t>
  </si>
  <si>
    <t>AM-2026-014-DOC_FORM_07</t>
  </si>
  <si>
    <t>SEI_SIMULADO/AM-2026-014/DOC_FORM_07</t>
  </si>
  <si>
    <t>AM-2026-014-DOC_FORM_08</t>
  </si>
  <si>
    <t>SEI_SIMULADO/AM-2026-014/DOC_FORM_08</t>
  </si>
  <si>
    <t>AM-2026-014-DOC_FORM_09</t>
  </si>
  <si>
    <t>AM-2026-014-DOC_FORM_10</t>
  </si>
  <si>
    <t>AM-2026-014-DOC_FORM_11</t>
  </si>
  <si>
    <t>AM-2026-014-DOC_FORM_12</t>
  </si>
  <si>
    <t>AM-2026-014-DOC_FORM_13</t>
  </si>
  <si>
    <t>Código</t>
  </si>
  <si>
    <t>Nome do Documento</t>
  </si>
  <si>
    <t>Aplicável a quais UFs</t>
  </si>
  <si>
    <t>Todas</t>
  </si>
  <si>
    <t>Documento estruturante da proposta.</t>
  </si>
  <si>
    <t>Deve prever adesão/integração/indicação da Plataforma Fala.BR.</t>
  </si>
  <si>
    <t>Itens, quantidades, valores unitários e totais.</t>
  </si>
  <si>
    <t>Compatibilidade com aparelhamento da ouvidoria; exclui obras e reformas.</t>
  </si>
  <si>
    <t>Identificação da ouvidoria de serviços penais beneficiária.</t>
  </si>
  <si>
    <t>Documento de suporte à formalização do instrumento.</t>
  </si>
  <si>
    <t>PA, RR, RS e SE</t>
  </si>
  <si>
    <t>Condição suspensiva do PROFOR/ONASP para UFs do Grupo 1.</t>
  </si>
  <si>
    <t>Órgão estadual</t>
  </si>
  <si>
    <t>Tipo responsável</t>
  </si>
  <si>
    <t>Nome</t>
  </si>
  <si>
    <t>E-mail</t>
  </si>
  <si>
    <t>Telefone</t>
  </si>
  <si>
    <t>Início vigência</t>
  </si>
  <si>
    <t>Fim vigência</t>
  </si>
  <si>
    <t>Ativo?</t>
  </si>
  <si>
    <t>Gestor político</t>
  </si>
  <si>
    <t>(61) 3001-0000</t>
  </si>
  <si>
    <t>Responsável técnico</t>
  </si>
  <si>
    <t>Coordenador(a) da proposta</t>
  </si>
  <si>
    <t>(61) 3001-1000</t>
  </si>
  <si>
    <t>(61) 3002-0000</t>
  </si>
  <si>
    <t>(61) 3002-1000</t>
  </si>
  <si>
    <t>(61) 3003-0000</t>
  </si>
  <si>
    <t>(61) 3003-1000</t>
  </si>
  <si>
    <t>(61) 3004-0000</t>
  </si>
  <si>
    <t>(61) 3004-1000</t>
  </si>
  <si>
    <t>(61) 3005-0000</t>
  </si>
  <si>
    <t>(61) 3005-1000</t>
  </si>
  <si>
    <t>(61) 3006-0000</t>
  </si>
  <si>
    <t>(61) 3006-1000</t>
  </si>
  <si>
    <t>(61) 3007-0000</t>
  </si>
  <si>
    <t>(61) 3007-1000</t>
  </si>
  <si>
    <t>(61) 3008-0000</t>
  </si>
  <si>
    <t>(61) 3008-1000</t>
  </si>
  <si>
    <t>(61) 3009-0000</t>
  </si>
  <si>
    <t>(61) 3009-1000</t>
  </si>
  <si>
    <t>(61) 3010-0000</t>
  </si>
  <si>
    <t>(61) 3010-1000</t>
  </si>
  <si>
    <t>(61) 3011-0000</t>
  </si>
  <si>
    <t>(61) 3011-1000</t>
  </si>
  <si>
    <t>(61) 3012-0000</t>
  </si>
  <si>
    <t>(61) 3012-1000</t>
  </si>
  <si>
    <t>(61) 3013-0000</t>
  </si>
  <si>
    <t>(61) 3013-1000</t>
  </si>
  <si>
    <t>(61) 3014-0000</t>
  </si>
  <si>
    <t>(61) 3014-1000</t>
  </si>
  <si>
    <t>Tipo</t>
  </si>
  <si>
    <t>Valor</t>
  </si>
  <si>
    <t>Não iniciada</t>
  </si>
  <si>
    <t>Proposta em elaboração</t>
  </si>
  <si>
    <t>Convênio celebrado</t>
  </si>
  <si>
    <t>Instrumento publicado</t>
  </si>
  <si>
    <t>Em execução</t>
  </si>
  <si>
    <t>Sim/Não</t>
  </si>
  <si>
    <t>Status Documento</t>
  </si>
  <si>
    <t>Enviado</t>
  </si>
  <si>
    <t>Grupo UF</t>
  </si>
  <si>
    <t>Natureza</t>
  </si>
  <si>
    <t>Capital</t>
  </si>
  <si>
    <t>Custeio</t>
  </si>
  <si>
    <t>Fonte</t>
  </si>
  <si>
    <t>Repasse</t>
  </si>
  <si>
    <t>Contrapartida</t>
  </si>
  <si>
    <t>Soma Plano</t>
  </si>
  <si>
    <t>Plano fecha?</t>
  </si>
  <si>
    <t>Repasse = R$ 200.000?</t>
  </si>
  <si>
    <t>Fala.BR previsto?</t>
  </si>
  <si>
    <t>Condição suspensiva pendente?</t>
  </si>
  <si>
    <t>Documentos projeto completos?</t>
  </si>
  <si>
    <t>Documentos formalização completos?</t>
  </si>
  <si>
    <t>Status de alerta</t>
  </si>
  <si>
    <t>Tema</t>
  </si>
  <si>
    <t>Referência</t>
  </si>
  <si>
    <t>URL / Observação</t>
  </si>
  <si>
    <t>Processo</t>
  </si>
  <si>
    <t>Processo SEI nº 08016.010062/2026-18</t>
  </si>
  <si>
    <t>Informação de contexto do PROFOR/ONASP</t>
  </si>
  <si>
    <t>Objeto</t>
  </si>
  <si>
    <t>Programa de Fortalecimento das Ouvidorias de Serviços Penais – PROFOR/ONASP</t>
  </si>
  <si>
    <t>Aparelhamento e fortalecimento de ouvidorias estaduais e distrital</t>
  </si>
  <si>
    <t>Portaria SENAPPEN nº 327/2024</t>
  </si>
  <si>
    <t>Fluxo, atribuições e procedimentos de instrumentos da SENAPPEN</t>
  </si>
  <si>
    <t>https://dspace.mj.gov.br/bitstream/1/12892/2/PRT_SENAPPEN_2024_327.html</t>
  </si>
  <si>
    <t>Portaria Conjunta MGI/MF/CGU nº 28/2024</t>
  </si>
  <si>
    <t>Regime simplificado para convênios e contratos de repasse</t>
  </si>
  <si>
    <t>https://www.gov.br/transferegov/pt-br/legislacao/portarias/portaria-conjunta-mgi-mf-cgu-no-28-de-21-de-maio-de-2024</t>
  </si>
  <si>
    <t>Portaria Conjunta MGI/MF/CGU nº 33/2023</t>
  </si>
  <si>
    <t>Normas complementares para transferências de recursos da União</t>
  </si>
  <si>
    <t>https://www.gov.br/transferegov/pt-br/legislacao/portarias/portaria-conjunta-mgi-mf-cgu-no-33-de-30-de-agosto-de-2023</t>
  </si>
  <si>
    <t>Plano Nacional Pena Justa</t>
  </si>
  <si>
    <t>Eixo 2; indicadores 2.4.2.1.1.1 e 2.4.2.1.2.1</t>
  </si>
  <si>
    <t>Referência estratégica do PROFOR/ONASP</t>
  </si>
  <si>
    <t>LGPD/LAI</t>
  </si>
  <si>
    <t>Tratamento de dados pessoais e transparência</t>
  </si>
  <si>
    <t>Dados simulados; substituir por dados oficiais antes de uso externo.</t>
  </si>
  <si>
    <t>Nota metodológica</t>
  </si>
  <si>
    <t>Todos os nomes, e-mails, números de proposta e valores de contrapartida são simulados.</t>
  </si>
  <si>
    <t>Usar apenas como estrutura-base para implantação no aplicativo.</t>
  </si>
  <si>
    <t>Estrutura do plano de aplicação</t>
  </si>
  <si>
    <t>A aba consolidada Plano_Aplicacao foi substituída por 14 abas individualizadas, uma por UF: Plano_AP, Plano_BA, Plano_CE, Plano_DF, Plano_ES, Plano_MG, Plano_PA, Plano_PE, Plano_RN, Plano_RS, Plano_SE, Plano_RR, Plano_GO e Plano_AM.</t>
  </si>
  <si>
    <t>A aba Painel_Propostas soma os valores de cada guia individualizada para conferência com o valor global da proposta.</t>
  </si>
  <si>
    <t>ID_Item</t>
  </si>
  <si>
    <t>Categoria</t>
  </si>
  <si>
    <t>Item</t>
  </si>
  <si>
    <t>Descrição detalhada</t>
  </si>
  <si>
    <t>Unidade</t>
  </si>
  <si>
    <t>Quantidade</t>
  </si>
  <si>
    <t>Valor Unitário</t>
  </si>
  <si>
    <t>Valor Total</t>
  </si>
  <si>
    <t>Elegível?</t>
  </si>
  <si>
    <t>AP-2026-001-01</t>
  </si>
  <si>
    <t>Equipamento tecnológico</t>
  </si>
  <si>
    <t>Notebooks</t>
  </si>
  <si>
    <t>Equipamentos para tratamento de manifestações, atendimento e relatórios.</t>
  </si>
  <si>
    <t>un</t>
  </si>
  <si>
    <t>Preenchimento simulado; revisar especificações no plano de trabalho definitivo.</t>
  </si>
  <si>
    <t>AP-2026-001-02</t>
  </si>
  <si>
    <t>Computadores desktop/all-in-one</t>
  </si>
  <si>
    <t>Estações de trabalho para equipe da ouvidoria.</t>
  </si>
  <si>
    <t>AP-2026-001-03</t>
  </si>
  <si>
    <t>Impressoras multifuncionais</t>
  </si>
  <si>
    <t>Impressão e digitalização de documentos administrativos.</t>
  </si>
  <si>
    <t>AP-2026-001-04</t>
  </si>
  <si>
    <t>Scanners de documentos</t>
  </si>
  <si>
    <t>Digitalização de documentos e correspondências físicas.</t>
  </si>
  <si>
    <t>AP-2026-001-05</t>
  </si>
  <si>
    <t>Nobreaks</t>
  </si>
  <si>
    <t>Proteção elétrica dos equipamentos de atendimento.</t>
  </si>
  <si>
    <t>AP-2026-001-06</t>
  </si>
  <si>
    <t>Mobiliário</t>
  </si>
  <si>
    <t>Mesas e cadeiras de atendimento</t>
  </si>
  <si>
    <t>Mobiliário para postos de atendimento e análise.</t>
  </si>
  <si>
    <t>AP-2026-001-07</t>
  </si>
  <si>
    <t>Armários e arquivos físicos</t>
  </si>
  <si>
    <t>Organização de documentos e materiais da ouvidoria.</t>
  </si>
  <si>
    <t>AP-2026-001-08</t>
  </si>
  <si>
    <t>Equipamentos de sala reservada</t>
  </si>
  <si>
    <t>Headsets, webcams, microfones e dispositivos auxiliares para atendimento reservado.</t>
  </si>
  <si>
    <t>lote</t>
  </si>
  <si>
    <t>AP-2026-001-09</t>
  </si>
  <si>
    <t>Mobiliário e aparelhamento complementar</t>
  </si>
  <si>
    <t>Conjunto complementar de aparelhamento da ouvidoria</t>
  </si>
  <si>
    <t>Mobiliário modular, sinalização interna, suporte a equipamentos e itens complementares compatíveis com o diagnóstico local, sem obras ou reformas.</t>
  </si>
  <si>
    <t>Repasse/Contrapartida</t>
  </si>
  <si>
    <t>BA-2026-002-01</t>
  </si>
  <si>
    <t>BA-2026-002-02</t>
  </si>
  <si>
    <t>BA-2026-002-03</t>
  </si>
  <si>
    <t>BA-2026-002-04</t>
  </si>
  <si>
    <t>BA-2026-002-05</t>
  </si>
  <si>
    <t>BA-2026-002-06</t>
  </si>
  <si>
    <t>BA-2026-002-07</t>
  </si>
  <si>
    <t>BA-2026-002-08</t>
  </si>
  <si>
    <t>BA-2026-002-09</t>
  </si>
  <si>
    <t>CE-2026-003-01</t>
  </si>
  <si>
    <t>CE-2026-003-02</t>
  </si>
  <si>
    <t>CE-2026-003-03</t>
  </si>
  <si>
    <t>CE-2026-003-04</t>
  </si>
  <si>
    <t>CE-2026-003-05</t>
  </si>
  <si>
    <t>CE-2026-003-06</t>
  </si>
  <si>
    <t>CE-2026-003-07</t>
  </si>
  <si>
    <t>CE-2026-003-08</t>
  </si>
  <si>
    <t>CE-2026-003-09</t>
  </si>
  <si>
    <t>DF-2026-004-01</t>
  </si>
  <si>
    <t>DF-2026-004-02</t>
  </si>
  <si>
    <t>DF-2026-004-03</t>
  </si>
  <si>
    <t>DF-2026-004-04</t>
  </si>
  <si>
    <t>DF-2026-004-05</t>
  </si>
  <si>
    <t>DF-2026-004-06</t>
  </si>
  <si>
    <t>DF-2026-004-07</t>
  </si>
  <si>
    <t>DF-2026-004-08</t>
  </si>
  <si>
    <t>DF-2026-004-09</t>
  </si>
  <si>
    <t>ES-2026-005-01</t>
  </si>
  <si>
    <t>ES-2026-005-02</t>
  </si>
  <si>
    <t>ES-2026-005-03</t>
  </si>
  <si>
    <t>ES-2026-005-04</t>
  </si>
  <si>
    <t>ES-2026-005-05</t>
  </si>
  <si>
    <t>ES-2026-005-06</t>
  </si>
  <si>
    <t>ES-2026-005-07</t>
  </si>
  <si>
    <t>ES-2026-005-08</t>
  </si>
  <si>
    <t>ES-2026-005-09</t>
  </si>
  <si>
    <t>MG-2026-006-01</t>
  </si>
  <si>
    <t>MG-2026-006-02</t>
  </si>
  <si>
    <t>MG-2026-006-03</t>
  </si>
  <si>
    <t>MG-2026-006-04</t>
  </si>
  <si>
    <t>MG-2026-006-05</t>
  </si>
  <si>
    <t>MG-2026-006-06</t>
  </si>
  <si>
    <t>MG-2026-006-07</t>
  </si>
  <si>
    <t>MG-2026-006-08</t>
  </si>
  <si>
    <t>MG-2026-006-09</t>
  </si>
  <si>
    <t>PA-2026-007-01</t>
  </si>
  <si>
    <t>PA-2026-007-02</t>
  </si>
  <si>
    <t>PA-2026-007-03</t>
  </si>
  <si>
    <t>PA-2026-007-04</t>
  </si>
  <si>
    <t>PA-2026-007-05</t>
  </si>
  <si>
    <t>PA-2026-007-06</t>
  </si>
  <si>
    <t>PA-2026-007-07</t>
  </si>
  <si>
    <t>PA-2026-007-08</t>
  </si>
  <si>
    <t>PA-2026-007-09</t>
  </si>
  <si>
    <t>PE-2026-008-01</t>
  </si>
  <si>
    <t>PE-2026-008-02</t>
  </si>
  <si>
    <t>PE-2026-008-03</t>
  </si>
  <si>
    <t>PE-2026-008-04</t>
  </si>
  <si>
    <t>PE-2026-008-05</t>
  </si>
  <si>
    <t>PE-2026-008-06</t>
  </si>
  <si>
    <t>PE-2026-008-07</t>
  </si>
  <si>
    <t>PE-2026-008-08</t>
  </si>
  <si>
    <t>PE-2026-008-09</t>
  </si>
  <si>
    <t>RN-2026-009-01</t>
  </si>
  <si>
    <t>RN-2026-009-02</t>
  </si>
  <si>
    <t>RN-2026-009-03</t>
  </si>
  <si>
    <t>RN-2026-009-04</t>
  </si>
  <si>
    <t>RN-2026-009-05</t>
  </si>
  <si>
    <t>RN-2026-009-06</t>
  </si>
  <si>
    <t>RN-2026-009-07</t>
  </si>
  <si>
    <t>RN-2026-009-08</t>
  </si>
  <si>
    <t>RN-2026-009-09</t>
  </si>
  <si>
    <t>RS-2026-010-01</t>
  </si>
  <si>
    <t>RS-2026-010-02</t>
  </si>
  <si>
    <t>RS-2026-010-03</t>
  </si>
  <si>
    <t>RS-2026-010-04</t>
  </si>
  <si>
    <t>RS-2026-010-05</t>
  </si>
  <si>
    <t>RS-2026-010-06</t>
  </si>
  <si>
    <t>RS-2026-010-07</t>
  </si>
  <si>
    <t>RS-2026-010-08</t>
  </si>
  <si>
    <t>RS-2026-010-09</t>
  </si>
  <si>
    <t>SE-2026-011-01</t>
  </si>
  <si>
    <t>SE-2026-011-02</t>
  </si>
  <si>
    <t>SE-2026-011-03</t>
  </si>
  <si>
    <t>SE-2026-011-04</t>
  </si>
  <si>
    <t>SE-2026-011-05</t>
  </si>
  <si>
    <t>SE-2026-011-06</t>
  </si>
  <si>
    <t>SE-2026-011-07</t>
  </si>
  <si>
    <t>SE-2026-011-08</t>
  </si>
  <si>
    <t>SE-2026-011-09</t>
  </si>
  <si>
    <t>RR-2026-012-01</t>
  </si>
  <si>
    <t>RR-2026-012-02</t>
  </si>
  <si>
    <t>RR-2026-012-03</t>
  </si>
  <si>
    <t>RR-2026-012-04</t>
  </si>
  <si>
    <t>RR-2026-012-05</t>
  </si>
  <si>
    <t>RR-2026-012-06</t>
  </si>
  <si>
    <t>RR-2026-012-07</t>
  </si>
  <si>
    <t>RR-2026-012-08</t>
  </si>
  <si>
    <t>RR-2026-012-09</t>
  </si>
  <si>
    <t>GO-2026-013-01</t>
  </si>
  <si>
    <t>GO-2026-013-02</t>
  </si>
  <si>
    <t>GO-2026-013-03</t>
  </si>
  <si>
    <t>GO-2026-013-04</t>
  </si>
  <si>
    <t>GO-2026-013-05</t>
  </si>
  <si>
    <t>GO-2026-013-06</t>
  </si>
  <si>
    <t>GO-2026-013-07</t>
  </si>
  <si>
    <t>GO-2026-013-08</t>
  </si>
  <si>
    <t>GO-2026-013-09</t>
  </si>
  <si>
    <t>AM-2026-014-01</t>
  </si>
  <si>
    <t>AM-2026-014-02</t>
  </si>
  <si>
    <t>AM-2026-014-03</t>
  </si>
  <si>
    <t>AM-2026-014-04</t>
  </si>
  <si>
    <t>AM-2026-014-05</t>
  </si>
  <si>
    <t>AM-2026-014-06</t>
  </si>
  <si>
    <t>AM-2026-014-07</t>
  </si>
  <si>
    <t>AM-2026-014-08</t>
  </si>
  <si>
    <t>AM-2026-014-09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</si>
</sst>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2" x14ac:knownFonts="1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0" fontId="0" fillId="0" borderId="0" xfId="0" applyNumberFormat="1" applyAlignment="1">
      <alignment vertical="top" wrapText="1"/>
    </xf>
    <xf numFmtId="14" fontId="0" fillId="0" borderId="0" xfId="0" applyNumberFormat="1" applyAlignment="1">
      <alignment vertical="top" wrapText="1"/>
    </xf>
    <xf numFmtId="0" fontId="1" fillId="3" borderId="0" xfId="0" applyFont="1" applyFill="1" applyAlignment="1">
      <alignment horizontal="center" vertical="center" wrapText="1"/>
    </xf>
    <xf numFmtId="1" fontId="0" fillId="0" borderId="0" xfId="0" applyNumberFormat="1" applyAlignment="1">
      <alignment vertical="top" wrapText="1"/>
    </xf>
  </cellXfs>
  <cellStyles count="1">
    <cellStyle name="Normal" xfId="0" builtinId="0"/>
  </cellStyles>
  <dxfs count="5">
    <dxf>
      <font>
        <b/>
      </font>
      <fill>
        <patternFill>
          <bgColor rgb="FFFCE4D6"/>
        </patternFill>
      </fill>
    </dxf>
    <dxf>
      <font>
        <b/>
      </font>
      <fill>
        <patternFill>
          <bgColor rgb="FFF4CCCC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PainelPropostas" displayName="TblPainelPropostas" ref="A1:AT15">
  <tableColumns count="46">
    <tableColumn id="1" xr3:uid="{00000000-0010-0000-0000-000001000000}" name="ID_Proposta"/>
    <tableColumn id="2" xr3:uid="{00000000-0010-0000-0000-000002000000}" name="UF"/>
    <tableColumn id="3" xr3:uid="{00000000-0010-0000-0000-000003000000}" name="Estado"/>
    <tableColumn id="4" xr3:uid="{00000000-0010-0000-0000-000004000000}" name="Grupo"/>
    <tableColumn id="5" xr3:uid="{00000000-0010-0000-0000-000005000000}" name="Nº Proposta"/>
    <tableColumn id="6" xr3:uid="{00000000-0010-0000-0000-000006000000}" name="Ano"/>
    <tableColumn id="7" xr3:uid="{00000000-0010-0000-0000-000007000000}" name="Status Geral"/>
    <tableColumn id="8" xr3:uid="{00000000-0010-0000-0000-000008000000}" name="Órgão/Secretaria"/>
    <tableColumn id="9" xr3:uid="{00000000-0010-0000-0000-000009000000}" name="Nome do Secretário"/>
    <tableColumn id="10" xr3:uid="{00000000-0010-0000-0000-00000A000000}" name="Cargo"/>
    <tableColumn id="11" xr3:uid="{00000000-0010-0000-0000-00000B000000}" name="E-mail Gestor"/>
    <tableColumn id="12" xr3:uid="{00000000-0010-0000-0000-00000C000000}" name="Responsável Técnico"/>
    <tableColumn id="13" xr3:uid="{00000000-0010-0000-0000-00000D000000}" name="E-mail Resp. Técnico"/>
    <tableColumn id="14" xr3:uid="{00000000-0010-0000-0000-00000E000000}" name="Valor Repasse"/>
    <tableColumn id="15" xr3:uid="{00000000-0010-0000-0000-00000F000000}" name="Valor Contrapartida"/>
    <tableColumn id="16" xr3:uid="{00000000-0010-0000-0000-000010000000}" name="Valor Global"/>
    <tableColumn id="17" xr3:uid="{00000000-0010-0000-0000-000011000000}" name="Ato normativo exigido?"/>
    <tableColumn id="18" xr3:uid="{00000000-0010-0000-0000-000012000000}" name="Ato normativo enviado?"/>
    <tableColumn id="19" xr3:uid="{00000000-0010-0000-0000-000013000000}" name="Fala.BR previsto no cronograma?"/>
    <tableColumn id="20" xr3:uid="{00000000-0010-0000-0000-000014000000}" name="DOC_PROJ_01"/>
    <tableColumn id="21" xr3:uid="{00000000-0010-0000-0000-000015000000}" name="DOC_PROJ_02"/>
    <tableColumn id="22" xr3:uid="{00000000-0010-0000-0000-000016000000}" name="DOC_PROJ_03"/>
    <tableColumn id="23" xr3:uid="{00000000-0010-0000-0000-000017000000}" name="DOC_PROJ_04"/>
    <tableColumn id="24" xr3:uid="{00000000-0010-0000-0000-000018000000}" name="DOC_PROJ_05"/>
    <tableColumn id="25" xr3:uid="{00000000-0010-0000-0000-000019000000}" name="DOC_FORM_01"/>
    <tableColumn id="26" xr3:uid="{00000000-0010-0000-0000-00001A000000}" name="DOC_FORM_02"/>
    <tableColumn id="27" xr3:uid="{00000000-0010-0000-0000-00001B000000}" name="DOC_FORM_03"/>
    <tableColumn id="28" xr3:uid="{00000000-0010-0000-0000-00001C000000}" name="DOC_FORM_04"/>
    <tableColumn id="29" xr3:uid="{00000000-0010-0000-0000-00001D000000}" name="DOC_FORM_05"/>
    <tableColumn id="30" xr3:uid="{00000000-0010-0000-0000-00001E000000}" name="DOC_FORM_06"/>
    <tableColumn id="31" xr3:uid="{00000000-0010-0000-0000-00001F000000}" name="DOC_FORM_07"/>
    <tableColumn id="32" xr3:uid="{00000000-0010-0000-0000-000020000000}" name="DOC_FORM_08"/>
    <tableColumn id="33" xr3:uid="{00000000-0010-0000-0000-000021000000}" name="DOC_FORM_09"/>
    <tableColumn id="34" xr3:uid="{00000000-0010-0000-0000-000022000000}" name="DOC_FORM_10"/>
    <tableColumn id="35" xr3:uid="{00000000-0010-0000-0000-000023000000}" name="DOC_FORM_11"/>
    <tableColumn id="36" xr3:uid="{00000000-0010-0000-0000-000024000000}" name="DOC_FORM_12"/>
    <tableColumn id="37" xr3:uid="{00000000-0010-0000-0000-000025000000}" name="DOC_FORM_13"/>
    <tableColumn id="38" xr3:uid="{00000000-0010-0000-0000-000026000000}" name="Soma Plano Aplicação"/>
    <tableColumn id="39" xr3:uid="{00000000-0010-0000-0000-000027000000}" name="Divergência Valor Global?"/>
    <tableColumn id="40" xr3:uid="{00000000-0010-0000-0000-000028000000}" name="% Docs Projeto"/>
    <tableColumn id="41" xr3:uid="{00000000-0010-0000-0000-000029000000}" name="% Docs Formalização"/>
    <tableColumn id="42" xr3:uid="{00000000-0010-0000-0000-00002A000000}" name="% Geral Docs"/>
    <tableColumn id="43" xr3:uid="{00000000-0010-0000-0000-00002B000000}" name="Condição Suspensiva Pendente?"/>
    <tableColumn id="44" xr3:uid="{00000000-0010-0000-0000-00002C000000}" name="Última Atualização"/>
    <tableColumn id="45" xr3:uid="{00000000-0010-0000-0000-00002D000000}" name="Observações"/>
    <tableColumn id="46" xr3:uid="{00000000-0010-0000-0000-00002E000000}" name="Fonte/Ori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blChecklistDocumentos" displayName="TblChecklistDocumentos" ref="A1:O257">
  <tableColumns count="15">
    <tableColumn id="1" xr3:uid="{00000000-0010-0000-0100-000001000000}" name="ID_Checklist"/>
    <tableColumn id="2" xr3:uid="{00000000-0010-0000-0100-000002000000}" name="ID_Proposta"/>
    <tableColumn id="3" xr3:uid="{00000000-0010-0000-0100-000003000000}" name="UF"/>
    <tableColumn id="4" xr3:uid="{00000000-0010-0000-0100-000004000000}" name="Etapa"/>
    <tableColumn id="5" xr3:uid="{00000000-0010-0000-0100-000005000000}" name="Código Documento"/>
    <tableColumn id="6" xr3:uid="{00000000-0010-0000-0100-000006000000}" name="Nome Documento"/>
    <tableColumn id="7" xr3:uid="{00000000-0010-0000-0100-000007000000}" name="Obrigatório?"/>
    <tableColumn id="8" xr3:uid="{00000000-0010-0000-0100-000008000000}" name="Enviado?"/>
    <tableColumn id="9" xr3:uid="{00000000-0010-0000-0100-000009000000}" name="Data Envio"/>
    <tableColumn id="10" xr3:uid="{00000000-0010-0000-0100-00000A000000}" name="Status Análise"/>
    <tableColumn id="11" xr3:uid="{00000000-0010-0000-0100-00000B000000}" name="Unidade Responsável"/>
    <tableColumn id="12" xr3:uid="{00000000-0010-0000-0100-00000C000000}" name="Link SEI/Transferegov"/>
    <tableColumn id="13" xr3:uid="{00000000-0010-0000-0100-00000D000000}" name="Pendência"/>
    <tableColumn id="14" xr3:uid="{00000000-0010-0000-0100-00000E000000}" name="Data Validação"/>
    <tableColumn id="15" xr3:uid="{00000000-0010-0000-0100-00000F000000}" name="Observaçã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blDicionarioDocumentos" displayName="TblDicionarioDocumentos" ref="A1:F20">
  <tableColumns count="6">
    <tableColumn id="1" xr3:uid="{00000000-0010-0000-0200-000001000000}" name="Código"/>
    <tableColumn id="2" xr3:uid="{00000000-0010-0000-0200-000002000000}" name="Etapa"/>
    <tableColumn id="3" xr3:uid="{00000000-0010-0000-0200-000003000000}" name="Nome do Documento"/>
    <tableColumn id="4" xr3:uid="{00000000-0010-0000-0200-000004000000}" name="Obrigatório?"/>
    <tableColumn id="5" xr3:uid="{00000000-0010-0000-0200-000005000000}" name="Aplicável a quais UFs"/>
    <tableColumn id="6" xr3:uid="{00000000-0010-0000-0200-000006000000}" name="Observaçã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blGestores" displayName="TblGestores" ref="A1:J29">
  <tableColumns count="10">
    <tableColumn id="1" xr3:uid="{00000000-0010-0000-0300-000001000000}" name="UF"/>
    <tableColumn id="2" xr3:uid="{00000000-0010-0000-0300-000002000000}" name="Órgão estadual"/>
    <tableColumn id="3" xr3:uid="{00000000-0010-0000-0300-000003000000}" name="Tipo responsável"/>
    <tableColumn id="4" xr3:uid="{00000000-0010-0000-0300-000004000000}" name="Nome"/>
    <tableColumn id="5" xr3:uid="{00000000-0010-0000-0300-000005000000}" name="Cargo"/>
    <tableColumn id="6" xr3:uid="{00000000-0010-0000-0300-000006000000}" name="E-mail"/>
    <tableColumn id="7" xr3:uid="{00000000-0010-0000-0300-000007000000}" name="Telefone"/>
    <tableColumn id="8" xr3:uid="{00000000-0010-0000-0300-000008000000}" name="Início vigência"/>
    <tableColumn id="9" xr3:uid="{00000000-0010-0000-0300-000009000000}" name="Fim vigência"/>
    <tableColumn id="10" xr3:uid="{00000000-0010-0000-0300-00000A000000}" name="Ativo?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blValidacoes" displayName="TblValidacoes" ref="A1:K15">
  <tableColumns count="11">
    <tableColumn id="1" xr3:uid="{00000000-0010-0000-0400-000001000000}" name="UF"/>
    <tableColumn id="2" xr3:uid="{00000000-0010-0000-0400-000002000000}" name="ID_Proposta"/>
    <tableColumn id="3" xr3:uid="{00000000-0010-0000-0400-000003000000}" name="Valor Global"/>
    <tableColumn id="4" xr3:uid="{00000000-0010-0000-0400-000004000000}" name="Soma Plano"/>
    <tableColumn id="5" xr3:uid="{00000000-0010-0000-0400-000005000000}" name="Plano fecha?"/>
    <tableColumn id="6" xr3:uid="{00000000-0010-0000-0400-000006000000}" name="Repasse = R$ 200.000?"/>
    <tableColumn id="7" xr3:uid="{00000000-0010-0000-0400-000007000000}" name="Fala.BR previsto?"/>
    <tableColumn id="8" xr3:uid="{00000000-0010-0000-0400-000008000000}" name="Condição suspensiva pendente?"/>
    <tableColumn id="9" xr3:uid="{00000000-0010-0000-0400-000009000000}" name="Documentos projeto completos?"/>
    <tableColumn id="10" xr3:uid="{00000000-0010-0000-0400-00000A000000}" name="Documentos formalização completos?"/>
    <tableColumn id="11" xr3:uid="{00000000-0010-0000-0400-00000B000000}" name="Status de alert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tbl_Plano_AP" displayName="tbl_Plano_AP" ref="A1:N10">
  <tableColumns count="14">
    <tableColumn id="1" xr3:uid="{00000000-0010-0000-0500-000001000000}" name="ID_Item"/>
    <tableColumn id="2" xr3:uid="{00000000-0010-0000-0500-000002000000}" name="ID_Proposta"/>
    <tableColumn id="3" xr3:uid="{00000000-0010-0000-0500-000003000000}" name="UF"/>
    <tableColumn id="4" xr3:uid="{00000000-0010-0000-0500-000004000000}" name="Categoria"/>
    <tableColumn id="5" xr3:uid="{00000000-0010-0000-0500-000005000000}" name="Item"/>
    <tableColumn id="6" xr3:uid="{00000000-0010-0000-0500-000006000000}" name="Descrição detalhada"/>
    <tableColumn id="7" xr3:uid="{00000000-0010-0000-0500-000007000000}" name="Unidade"/>
    <tableColumn id="8" xr3:uid="{00000000-0010-0000-0500-000008000000}" name="Quantidade"/>
    <tableColumn id="9" xr3:uid="{00000000-0010-0000-0500-000009000000}" name="Valor Unitário"/>
    <tableColumn id="10" xr3:uid="{00000000-0010-0000-0500-00000A000000}" name="Fonte"/>
    <tableColumn id="11" xr3:uid="{00000000-0010-0000-0500-00000B000000}" name="Valor Total"/>
    <tableColumn id="12" xr3:uid="{00000000-0010-0000-0500-00000C000000}" name="Natureza"/>
    <tableColumn id="13" xr3:uid="{00000000-0010-0000-0500-00000D000000}" name="Elegível?"/>
    <tableColumn id="14" xr3:uid="{00000000-0010-0000-0500-00000E000000}" name="Observaçã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tbl_Plano_BA" displayName="tbl_Plano_BA" ref="A1:N10">
  <tableColumns count="14">
    <tableColumn id="1" xr3:uid="{00000000-0010-0000-0600-000001000000}" name="ID_Item"/>
    <tableColumn id="2" xr3:uid="{00000000-0010-0000-0600-000002000000}" name="ID_Proposta"/>
    <tableColumn id="3" xr3:uid="{00000000-0010-0000-0600-000003000000}" name="UF"/>
    <tableColumn id="4" xr3:uid="{00000000-0010-0000-0600-000004000000}" name="Categoria"/>
    <tableColumn id="5" xr3:uid="{00000000-0010-0000-0600-000005000000}" name="Item"/>
    <tableColumn id="6" xr3:uid="{00000000-0010-0000-0600-000006000000}" name="Descrição detalhada"/>
    <tableColumn id="7" xr3:uid="{00000000-0010-0000-0600-000007000000}" name="Unidade"/>
    <tableColumn id="8" xr3:uid="{00000000-0010-0000-0600-000008000000}" name="Quantidade"/>
    <tableColumn id="9" xr3:uid="{00000000-0010-0000-0600-000009000000}" name="Valor Unitário"/>
    <tableColumn id="10" xr3:uid="{00000000-0010-0000-0600-00000A000000}" name="Fonte"/>
    <tableColumn id="11" xr3:uid="{00000000-0010-0000-0600-00000B000000}" name="Valor Total"/>
    <tableColumn id="12" xr3:uid="{00000000-0010-0000-0600-00000C000000}" name="Natureza"/>
    <tableColumn id="13" xr3:uid="{00000000-0010-0000-0600-00000D000000}" name="Elegível?"/>
    <tableColumn id="14" xr3:uid="{00000000-0010-0000-0600-00000E000000}" name="Observação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tbl_Plano_CE" displayName="tbl_Plano_CE" ref="A1:N10">
  <tableColumns count="14">
    <tableColumn id="1" xr3:uid="{00000000-0010-0000-0700-000001000000}" name="ID_Item"/>
    <tableColumn id="2" xr3:uid="{00000000-0010-0000-0700-000002000000}" name="ID_Proposta"/>
    <tableColumn id="3" xr3:uid="{00000000-0010-0000-0700-000003000000}" name="UF"/>
    <tableColumn id="4" xr3:uid="{00000000-0010-0000-0700-000004000000}" name="Categoria"/>
    <tableColumn id="5" xr3:uid="{00000000-0010-0000-0700-000005000000}" name="Item"/>
    <tableColumn id="6" xr3:uid="{00000000-0010-0000-0700-000006000000}" name="Descrição detalhada"/>
    <tableColumn id="7" xr3:uid="{00000000-0010-0000-0700-000007000000}" name="Unidade"/>
    <tableColumn id="8" xr3:uid="{00000000-0010-0000-0700-000008000000}" name="Quantidade"/>
    <tableColumn id="9" xr3:uid="{00000000-0010-0000-0700-000009000000}" name="Valor Unitário"/>
    <tableColumn id="10" xr3:uid="{00000000-0010-0000-0700-00000A000000}" name="Fonte"/>
    <tableColumn id="11" xr3:uid="{00000000-0010-0000-0700-00000B000000}" name="Valor Total"/>
    <tableColumn id="12" xr3:uid="{00000000-0010-0000-0700-00000C000000}" name="Natureza"/>
    <tableColumn id="13" xr3:uid="{00000000-0010-0000-0700-00000D000000}" name="Elegível?"/>
    <tableColumn id="14" xr3:uid="{00000000-0010-0000-0700-00000E000000}" name="Observação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8000000}" name="tbl_Plano_DF" displayName="tbl_Plano_DF" ref="A1:N10">
  <tableColumns count="14">
    <tableColumn id="1" xr3:uid="{00000000-0010-0000-0800-000001000000}" name="ID_Item"/>
    <tableColumn id="2" xr3:uid="{00000000-0010-0000-0800-000002000000}" name="ID_Proposta"/>
    <tableColumn id="3" xr3:uid="{00000000-0010-0000-0800-000003000000}" name="UF"/>
    <tableColumn id="4" xr3:uid="{00000000-0010-0000-0800-000004000000}" name="Categoria"/>
    <tableColumn id="5" xr3:uid="{00000000-0010-0000-0800-000005000000}" name="Item"/>
    <tableColumn id="6" xr3:uid="{00000000-0010-0000-0800-000006000000}" name="Descrição detalhada"/>
    <tableColumn id="7" xr3:uid="{00000000-0010-0000-0800-000007000000}" name="Unidade"/>
    <tableColumn id="8" xr3:uid="{00000000-0010-0000-0800-000008000000}" name="Quantidade"/>
    <tableColumn id="9" xr3:uid="{00000000-0010-0000-0800-000009000000}" name="Valor Unitário"/>
    <tableColumn id="10" xr3:uid="{00000000-0010-0000-0800-00000A000000}" name="Fonte"/>
    <tableColumn id="11" xr3:uid="{00000000-0010-0000-0800-00000B000000}" name="Valor Total"/>
    <tableColumn id="12" xr3:uid="{00000000-0010-0000-0800-00000C000000}" name="Natureza"/>
    <tableColumn id="13" xr3:uid="{00000000-0010-0000-0800-00000D000000}" name="Elegível?"/>
    <tableColumn id="14" xr3:uid="{00000000-0010-0000-0800-00000E000000}" name="Observaçã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9000000}" name="tbl_Plano_ES" displayName="tbl_Plano_ES" ref="A1:N10">
  <tableColumns count="14">
    <tableColumn id="1" xr3:uid="{00000000-0010-0000-0900-000001000000}" name="ID_Item"/>
    <tableColumn id="2" xr3:uid="{00000000-0010-0000-0900-000002000000}" name="ID_Proposta"/>
    <tableColumn id="3" xr3:uid="{00000000-0010-0000-0900-000003000000}" name="UF"/>
    <tableColumn id="4" xr3:uid="{00000000-0010-0000-0900-000004000000}" name="Categoria"/>
    <tableColumn id="5" xr3:uid="{00000000-0010-0000-0900-000005000000}" name="Item"/>
    <tableColumn id="6" xr3:uid="{00000000-0010-0000-0900-000006000000}" name="Descrição detalhada"/>
    <tableColumn id="7" xr3:uid="{00000000-0010-0000-0900-000007000000}" name="Unidade"/>
    <tableColumn id="8" xr3:uid="{00000000-0010-0000-0900-000008000000}" name="Quantidade"/>
    <tableColumn id="9" xr3:uid="{00000000-0010-0000-0900-000009000000}" name="Valor Unitário"/>
    <tableColumn id="10" xr3:uid="{00000000-0010-0000-0900-00000A000000}" name="Fonte"/>
    <tableColumn id="11" xr3:uid="{00000000-0010-0000-0900-00000B000000}" name="Valor Total"/>
    <tableColumn id="12" xr3:uid="{00000000-0010-0000-0900-00000C000000}" name="Natureza"/>
    <tableColumn id="13" xr3:uid="{00000000-0010-0000-0900-00000D000000}" name="Elegível?"/>
    <tableColumn id="14" xr3:uid="{00000000-0010-0000-0900-00000E000000}" name="Observação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A000000}" name="tbl_Plano_MG" displayName="tbl_Plano_MG" ref="A1:N10">
  <tableColumns count="14">
    <tableColumn id="1" xr3:uid="{00000000-0010-0000-0A00-000001000000}" name="ID_Item"/>
    <tableColumn id="2" xr3:uid="{00000000-0010-0000-0A00-000002000000}" name="ID_Proposta"/>
    <tableColumn id="3" xr3:uid="{00000000-0010-0000-0A00-000003000000}" name="UF"/>
    <tableColumn id="4" xr3:uid="{00000000-0010-0000-0A00-000004000000}" name="Categoria"/>
    <tableColumn id="5" xr3:uid="{00000000-0010-0000-0A00-000005000000}" name="Item"/>
    <tableColumn id="6" xr3:uid="{00000000-0010-0000-0A00-000006000000}" name="Descrição detalhada"/>
    <tableColumn id="7" xr3:uid="{00000000-0010-0000-0A00-000007000000}" name="Unidade"/>
    <tableColumn id="8" xr3:uid="{00000000-0010-0000-0A00-000008000000}" name="Quantidade"/>
    <tableColumn id="9" xr3:uid="{00000000-0010-0000-0A00-000009000000}" name="Valor Unitário"/>
    <tableColumn id="10" xr3:uid="{00000000-0010-0000-0A00-00000A000000}" name="Fonte"/>
    <tableColumn id="11" xr3:uid="{00000000-0010-0000-0A00-00000B000000}" name="Valor Total"/>
    <tableColumn id="12" xr3:uid="{00000000-0010-0000-0A00-00000C000000}" name="Natureza"/>
    <tableColumn id="13" xr3:uid="{00000000-0010-0000-0A00-00000D000000}" name="Elegível?"/>
    <tableColumn id="14" xr3:uid="{00000000-0010-0000-0A00-00000E000000}" name="Observação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B000000}" name="tbl_Plano_PA" displayName="tbl_Plano_PA" ref="A1:N10">
  <tableColumns count="14">
    <tableColumn id="1" xr3:uid="{00000000-0010-0000-0B00-000001000000}" name="ID_Item"/>
    <tableColumn id="2" xr3:uid="{00000000-0010-0000-0B00-000002000000}" name="ID_Proposta"/>
    <tableColumn id="3" xr3:uid="{00000000-0010-0000-0B00-000003000000}" name="UF"/>
    <tableColumn id="4" xr3:uid="{00000000-0010-0000-0B00-000004000000}" name="Categoria"/>
    <tableColumn id="5" xr3:uid="{00000000-0010-0000-0B00-000005000000}" name="Item"/>
    <tableColumn id="6" xr3:uid="{00000000-0010-0000-0B00-000006000000}" name="Descrição detalhada"/>
    <tableColumn id="7" xr3:uid="{00000000-0010-0000-0B00-000007000000}" name="Unidade"/>
    <tableColumn id="8" xr3:uid="{00000000-0010-0000-0B00-000008000000}" name="Quantidade"/>
    <tableColumn id="9" xr3:uid="{00000000-0010-0000-0B00-000009000000}" name="Valor Unitário"/>
    <tableColumn id="10" xr3:uid="{00000000-0010-0000-0B00-00000A000000}" name="Fonte"/>
    <tableColumn id="11" xr3:uid="{00000000-0010-0000-0B00-00000B000000}" name="Valor Total"/>
    <tableColumn id="12" xr3:uid="{00000000-0010-0000-0B00-00000C000000}" name="Natureza"/>
    <tableColumn id="13" xr3:uid="{00000000-0010-0000-0B00-00000D000000}" name="Elegível?"/>
    <tableColumn id="14" xr3:uid="{00000000-0010-0000-0B00-00000E000000}" name="Observação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C000000}" name="tbl_Plano_PE" displayName="tbl_Plano_PE" ref="A1:N10">
  <tableColumns count="14">
    <tableColumn id="1" xr3:uid="{00000000-0010-0000-0C00-000001000000}" name="ID_Item"/>
    <tableColumn id="2" xr3:uid="{00000000-0010-0000-0C00-000002000000}" name="ID_Proposta"/>
    <tableColumn id="3" xr3:uid="{00000000-0010-0000-0C00-000003000000}" name="UF"/>
    <tableColumn id="4" xr3:uid="{00000000-0010-0000-0C00-000004000000}" name="Categoria"/>
    <tableColumn id="5" xr3:uid="{00000000-0010-0000-0C00-000005000000}" name="Item"/>
    <tableColumn id="6" xr3:uid="{00000000-0010-0000-0C00-000006000000}" name="Descrição detalhada"/>
    <tableColumn id="7" xr3:uid="{00000000-0010-0000-0C00-000007000000}" name="Unidade"/>
    <tableColumn id="8" xr3:uid="{00000000-0010-0000-0C00-000008000000}" name="Quantidade"/>
    <tableColumn id="9" xr3:uid="{00000000-0010-0000-0C00-000009000000}" name="Valor Unitário"/>
    <tableColumn id="10" xr3:uid="{00000000-0010-0000-0C00-00000A000000}" name="Fonte"/>
    <tableColumn id="11" xr3:uid="{00000000-0010-0000-0C00-00000B000000}" name="Valor Total"/>
    <tableColumn id="12" xr3:uid="{00000000-0010-0000-0C00-00000C000000}" name="Natureza"/>
    <tableColumn id="13" xr3:uid="{00000000-0010-0000-0C00-00000D000000}" name="Elegível?"/>
    <tableColumn id="14" xr3:uid="{00000000-0010-0000-0C00-00000E000000}" name="Observação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D000000}" name="tbl_Plano_RN" displayName="tbl_Plano_RN" ref="A1:N10">
  <tableColumns count="14">
    <tableColumn id="1" xr3:uid="{00000000-0010-0000-0D00-000001000000}" name="ID_Item"/>
    <tableColumn id="2" xr3:uid="{00000000-0010-0000-0D00-000002000000}" name="ID_Proposta"/>
    <tableColumn id="3" xr3:uid="{00000000-0010-0000-0D00-000003000000}" name="UF"/>
    <tableColumn id="4" xr3:uid="{00000000-0010-0000-0D00-000004000000}" name="Categoria"/>
    <tableColumn id="5" xr3:uid="{00000000-0010-0000-0D00-000005000000}" name="Item"/>
    <tableColumn id="6" xr3:uid="{00000000-0010-0000-0D00-000006000000}" name="Descrição detalhada"/>
    <tableColumn id="7" xr3:uid="{00000000-0010-0000-0D00-000007000000}" name="Unidade"/>
    <tableColumn id="8" xr3:uid="{00000000-0010-0000-0D00-000008000000}" name="Quantidade"/>
    <tableColumn id="9" xr3:uid="{00000000-0010-0000-0D00-000009000000}" name="Valor Unitário"/>
    <tableColumn id="10" xr3:uid="{00000000-0010-0000-0D00-00000A000000}" name="Fonte"/>
    <tableColumn id="11" xr3:uid="{00000000-0010-0000-0D00-00000B000000}" name="Valor Total"/>
    <tableColumn id="12" xr3:uid="{00000000-0010-0000-0D00-00000C000000}" name="Natureza"/>
    <tableColumn id="13" xr3:uid="{00000000-0010-0000-0D00-00000D000000}" name="Elegível?"/>
    <tableColumn id="14" xr3:uid="{00000000-0010-0000-0D00-00000E000000}" name="Observação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E000000}" name="tbl_Plano_RS" displayName="tbl_Plano_RS" ref="A1:N10">
  <tableColumns count="14">
    <tableColumn id="1" xr3:uid="{00000000-0010-0000-0E00-000001000000}" name="ID_Item"/>
    <tableColumn id="2" xr3:uid="{00000000-0010-0000-0E00-000002000000}" name="ID_Proposta"/>
    <tableColumn id="3" xr3:uid="{00000000-0010-0000-0E00-000003000000}" name="UF"/>
    <tableColumn id="4" xr3:uid="{00000000-0010-0000-0E00-000004000000}" name="Categoria"/>
    <tableColumn id="5" xr3:uid="{00000000-0010-0000-0E00-000005000000}" name="Item"/>
    <tableColumn id="6" xr3:uid="{00000000-0010-0000-0E00-000006000000}" name="Descrição detalhada"/>
    <tableColumn id="7" xr3:uid="{00000000-0010-0000-0E00-000007000000}" name="Unidade"/>
    <tableColumn id="8" xr3:uid="{00000000-0010-0000-0E00-000008000000}" name="Quantidade"/>
    <tableColumn id="9" xr3:uid="{00000000-0010-0000-0E00-000009000000}" name="Valor Unitário"/>
    <tableColumn id="10" xr3:uid="{00000000-0010-0000-0E00-00000A000000}" name="Fonte"/>
    <tableColumn id="11" xr3:uid="{00000000-0010-0000-0E00-00000B000000}" name="Valor Total"/>
    <tableColumn id="12" xr3:uid="{00000000-0010-0000-0E00-00000C000000}" name="Natureza"/>
    <tableColumn id="13" xr3:uid="{00000000-0010-0000-0E00-00000D000000}" name="Elegível?"/>
    <tableColumn id="14" xr3:uid="{00000000-0010-0000-0E00-00000E000000}" name="Observação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F000000}" name="tbl_Plano_SE" displayName="tbl_Plano_SE" ref="A1:N10">
  <tableColumns count="14">
    <tableColumn id="1" xr3:uid="{00000000-0010-0000-0F00-000001000000}" name="ID_Item"/>
    <tableColumn id="2" xr3:uid="{00000000-0010-0000-0F00-000002000000}" name="ID_Proposta"/>
    <tableColumn id="3" xr3:uid="{00000000-0010-0000-0F00-000003000000}" name="UF"/>
    <tableColumn id="4" xr3:uid="{00000000-0010-0000-0F00-000004000000}" name="Categoria"/>
    <tableColumn id="5" xr3:uid="{00000000-0010-0000-0F00-000005000000}" name="Item"/>
    <tableColumn id="6" xr3:uid="{00000000-0010-0000-0F00-000006000000}" name="Descrição detalhada"/>
    <tableColumn id="7" xr3:uid="{00000000-0010-0000-0F00-000007000000}" name="Unidade"/>
    <tableColumn id="8" xr3:uid="{00000000-0010-0000-0F00-000008000000}" name="Quantidade"/>
    <tableColumn id="9" xr3:uid="{00000000-0010-0000-0F00-000009000000}" name="Valor Unitário"/>
    <tableColumn id="10" xr3:uid="{00000000-0010-0000-0F00-00000A000000}" name="Fonte"/>
    <tableColumn id="11" xr3:uid="{00000000-0010-0000-0F00-00000B000000}" name="Valor Total"/>
    <tableColumn id="12" xr3:uid="{00000000-0010-0000-0F00-00000C000000}" name="Natureza"/>
    <tableColumn id="13" xr3:uid="{00000000-0010-0000-0F00-00000D000000}" name="Elegível?"/>
    <tableColumn id="14" xr3:uid="{00000000-0010-0000-0F00-00000E000000}" name="Observaçã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0000000}" name="tbl_Plano_RR" displayName="tbl_Plano_RR" ref="A1:N10">
  <tableColumns count="14">
    <tableColumn id="1" xr3:uid="{00000000-0010-0000-1000-000001000000}" name="ID_Item"/>
    <tableColumn id="2" xr3:uid="{00000000-0010-0000-1000-000002000000}" name="ID_Proposta"/>
    <tableColumn id="3" xr3:uid="{00000000-0010-0000-1000-000003000000}" name="UF"/>
    <tableColumn id="4" xr3:uid="{00000000-0010-0000-1000-000004000000}" name="Categoria"/>
    <tableColumn id="5" xr3:uid="{00000000-0010-0000-1000-000005000000}" name="Item"/>
    <tableColumn id="6" xr3:uid="{00000000-0010-0000-1000-000006000000}" name="Descrição detalhada"/>
    <tableColumn id="7" xr3:uid="{00000000-0010-0000-1000-000007000000}" name="Unidade"/>
    <tableColumn id="8" xr3:uid="{00000000-0010-0000-1000-000008000000}" name="Quantidade"/>
    <tableColumn id="9" xr3:uid="{00000000-0010-0000-1000-000009000000}" name="Valor Unitário"/>
    <tableColumn id="10" xr3:uid="{00000000-0010-0000-1000-00000A000000}" name="Fonte"/>
    <tableColumn id="11" xr3:uid="{00000000-0010-0000-1000-00000B000000}" name="Valor Total"/>
    <tableColumn id="12" xr3:uid="{00000000-0010-0000-1000-00000C000000}" name="Natureza"/>
    <tableColumn id="13" xr3:uid="{00000000-0010-0000-1000-00000D000000}" name="Elegível?"/>
    <tableColumn id="14" xr3:uid="{00000000-0010-0000-1000-00000E000000}" name="Observação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1000000}" name="tbl_Plano_GO" displayName="tbl_Plano_GO" ref="A1:N10">
  <tableColumns count="14">
    <tableColumn id="1" xr3:uid="{00000000-0010-0000-1100-000001000000}" name="ID_Item"/>
    <tableColumn id="2" xr3:uid="{00000000-0010-0000-1100-000002000000}" name="ID_Proposta"/>
    <tableColumn id="3" xr3:uid="{00000000-0010-0000-1100-000003000000}" name="UF"/>
    <tableColumn id="4" xr3:uid="{00000000-0010-0000-1100-000004000000}" name="Categoria"/>
    <tableColumn id="5" xr3:uid="{00000000-0010-0000-1100-000005000000}" name="Item"/>
    <tableColumn id="6" xr3:uid="{00000000-0010-0000-1100-000006000000}" name="Descrição detalhada"/>
    <tableColumn id="7" xr3:uid="{00000000-0010-0000-1100-000007000000}" name="Unidade"/>
    <tableColumn id="8" xr3:uid="{00000000-0010-0000-1100-000008000000}" name="Quantidade"/>
    <tableColumn id="9" xr3:uid="{00000000-0010-0000-1100-000009000000}" name="Valor Unitário"/>
    <tableColumn id="10" xr3:uid="{00000000-0010-0000-1100-00000A000000}" name="Fonte"/>
    <tableColumn id="11" xr3:uid="{00000000-0010-0000-1100-00000B000000}" name="Valor Total"/>
    <tableColumn id="12" xr3:uid="{00000000-0010-0000-1100-00000C000000}" name="Natureza"/>
    <tableColumn id="13" xr3:uid="{00000000-0010-0000-1100-00000D000000}" name="Elegível?"/>
    <tableColumn id="14" xr3:uid="{00000000-0010-0000-1100-00000E000000}" name="Observação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2000000}" name="tbl_Plano_AM" displayName="tbl_Plano_AM" ref="A1:N10">
  <tableColumns count="14">
    <tableColumn id="1" xr3:uid="{00000000-0010-0000-1200-000001000000}" name="ID_Item"/>
    <tableColumn id="2" xr3:uid="{00000000-0010-0000-1200-000002000000}" name="ID_Proposta"/>
    <tableColumn id="3" xr3:uid="{00000000-0010-0000-1200-000003000000}" name="UF"/>
    <tableColumn id="4" xr3:uid="{00000000-0010-0000-1200-000004000000}" name="Categoria"/>
    <tableColumn id="5" xr3:uid="{00000000-0010-0000-1200-000005000000}" name="Item"/>
    <tableColumn id="6" xr3:uid="{00000000-0010-0000-1200-000006000000}" name="Descrição detalhada"/>
    <tableColumn id="7" xr3:uid="{00000000-0010-0000-1200-000007000000}" name="Unidade"/>
    <tableColumn id="8" xr3:uid="{00000000-0010-0000-1200-000008000000}" name="Quantidade"/>
    <tableColumn id="9" xr3:uid="{00000000-0010-0000-1200-000009000000}" name="Valor Unitário"/>
    <tableColumn id="10" xr3:uid="{00000000-0010-0000-1200-00000A000000}" name="Fonte"/>
    <tableColumn id="11" xr3:uid="{00000000-0010-0000-1200-00000B000000}" name="Valor Total"/>
    <tableColumn id="12" xr3:uid="{00000000-0010-0000-1200-00000C000000}" name="Natureza"/>
    <tableColumn id="13" xr3:uid="{00000000-0010-0000-1200-00000D000000}" name="Elegível?"/>
    <tableColumn id="14" xr3:uid="{00000000-0010-0000-1200-00000E000000}" name="Observ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6"/>
  <sheetViews>
    <sheetView tabSelected="1" workbookViewId="0"/>
  </sheetViews>
  <sheetFormatPr defaultRowHeight="14.4" x14ac:dyDescent="0.3"/>
  <cols>
    <col min="1" max="1" width="16" customWidth="1"/>
    <col min="2" max="2" width="6" customWidth="1"/>
    <col min="3" max="3" width="20" customWidth="1"/>
    <col min="4" max="4" width="28" customWidth="1"/>
    <col min="5" max="5" width="14" customWidth="1"/>
    <col min="6" max="6" width="8" customWidth="1"/>
    <col min="7" max="7" width="24" customWidth="1"/>
    <col min="8" max="8" width="36" customWidth="1"/>
    <col min="9" max="9" width="22" customWidth="1"/>
    <col min="10" max="10" width="18" customWidth="1"/>
    <col min="11" max="11" width="30" customWidth="1"/>
    <col min="12" max="12" width="20" customWidth="1"/>
    <col min="13" max="13" width="30" customWidth="1"/>
    <col min="14" max="14" width="16" customWidth="1"/>
    <col min="15" max="15" width="18" customWidth="1"/>
    <col min="16" max="16" width="16" customWidth="1"/>
    <col min="17" max="18" width="18" customWidth="1"/>
    <col min="19" max="19" width="22" customWidth="1"/>
    <col min="20" max="37" width="12" customWidth="1"/>
    <col min="38" max="39" width="18" customWidth="1"/>
    <col min="40" max="40" width="16" customWidth="1"/>
    <col min="41" max="41" width="18" customWidth="1"/>
    <col min="42" max="42" width="14" customWidth="1"/>
    <col min="43" max="43" width="22" customWidth="1"/>
    <col min="44" max="44" width="16" customWidth="1"/>
    <col min="45" max="45" width="40" customWidth="1"/>
    <col min="46" max="46" width="24" customWidth="1"/>
  </cols>
  <sheetData>
    <row r="1" spans="1:46" ht="19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ht="28.8" x14ac:dyDescent="0.3">
      <c r="A2" s="2" t="s">
        <v>46</v>
      </c>
      <c r="B2" s="2" t="s">
        <v>47</v>
      </c>
      <c r="C2" s="2" t="s">
        <v>48</v>
      </c>
      <c r="D2" s="2" t="s">
        <v>49</v>
      </c>
      <c r="E2" s="2" t="s">
        <v>50</v>
      </c>
      <c r="F2" s="2">
        <v>2026</v>
      </c>
      <c r="G2" s="2" t="s">
        <v>51</v>
      </c>
      <c r="H2" s="2" t="s">
        <v>52</v>
      </c>
      <c r="I2" s="2" t="s">
        <v>53</v>
      </c>
      <c r="J2" s="2" t="s">
        <v>54</v>
      </c>
      <c r="K2" s="2" t="s">
        <v>55</v>
      </c>
      <c r="L2" s="2" t="s">
        <v>56</v>
      </c>
      <c r="M2" s="2" t="s">
        <v>57</v>
      </c>
      <c r="N2" s="3">
        <v>200000</v>
      </c>
      <c r="O2" s="3">
        <v>12000</v>
      </c>
      <c r="P2" s="3">
        <f t="shared" ref="P2:P15" si="0">N2+O2</f>
        <v>212000</v>
      </c>
      <c r="Q2" s="2" t="s">
        <v>58</v>
      </c>
      <c r="R2" s="2" t="s">
        <v>59</v>
      </c>
      <c r="S2" s="2" t="s">
        <v>60</v>
      </c>
      <c r="T2" s="2" t="s">
        <v>60</v>
      </c>
      <c r="U2" s="2" t="s">
        <v>60</v>
      </c>
      <c r="V2" s="2" t="s">
        <v>60</v>
      </c>
      <c r="W2" s="2" t="s">
        <v>60</v>
      </c>
      <c r="X2" s="2" t="s">
        <v>60</v>
      </c>
      <c r="Y2" s="2" t="s">
        <v>60</v>
      </c>
      <c r="Z2" s="2" t="s">
        <v>60</v>
      </c>
      <c r="AA2" s="2" t="s">
        <v>60</v>
      </c>
      <c r="AB2" s="2" t="s">
        <v>60</v>
      </c>
      <c r="AC2" s="2" t="s">
        <v>60</v>
      </c>
      <c r="AD2" s="2" t="s">
        <v>60</v>
      </c>
      <c r="AE2" s="2" t="s">
        <v>60</v>
      </c>
      <c r="AF2" s="2" t="s">
        <v>60</v>
      </c>
      <c r="AG2" s="2" t="s">
        <v>60</v>
      </c>
      <c r="AH2" s="2" t="s">
        <v>60</v>
      </c>
      <c r="AI2" s="2" t="s">
        <v>58</v>
      </c>
      <c r="AJ2" s="2" t="s">
        <v>58</v>
      </c>
      <c r="AK2" s="2" t="s">
        <v>58</v>
      </c>
      <c r="AL2" s="3">
        <f>SUM(Plano_AP!$K:$K)</f>
        <v>212000</v>
      </c>
      <c r="AM2" s="2" t="str">
        <f t="shared" ref="AM2:AM15" si="1">IF(ABS(AL2-P2)&lt;0.01,"Não","Sim")</f>
        <v>Não</v>
      </c>
      <c r="AN2" s="4">
        <f t="shared" ref="AN2:AN15" si="2">COUNTIF(T2:X2,"Sim")/5</f>
        <v>1</v>
      </c>
      <c r="AO2" s="4">
        <f t="shared" ref="AO2:AO15" si="3">COUNTIF(Y2:AK2,"Sim")/13</f>
        <v>0.76923076923076927</v>
      </c>
      <c r="AP2" s="4">
        <f t="shared" ref="AP2:AP15" si="4">(COUNTIF(T2:X2,"Sim")+COUNTIF(Y2:AK2,"Sim"))/18</f>
        <v>0.83333333333333337</v>
      </c>
      <c r="AQ2" s="2" t="str">
        <f t="shared" ref="AQ2:AQ15" si="5">IF(AND(Q2="Sim",R2&lt;&gt;"Sim"),"Sim","Não")</f>
        <v>Não</v>
      </c>
      <c r="AR2" s="5">
        <v>46146</v>
      </c>
      <c r="AS2" s="2" t="s">
        <v>61</v>
      </c>
      <c r="AT2" s="2" t="s">
        <v>62</v>
      </c>
    </row>
    <row r="3" spans="1:46" ht="28.8" x14ac:dyDescent="0.3">
      <c r="A3" s="2" t="s">
        <v>63</v>
      </c>
      <c r="B3" s="2" t="s">
        <v>64</v>
      </c>
      <c r="C3" s="2" t="s">
        <v>65</v>
      </c>
      <c r="D3" s="2" t="s">
        <v>49</v>
      </c>
      <c r="E3" s="2" t="s">
        <v>66</v>
      </c>
      <c r="F3" s="2">
        <v>2026</v>
      </c>
      <c r="G3" s="2" t="s">
        <v>67</v>
      </c>
      <c r="H3" s="2" t="s">
        <v>68</v>
      </c>
      <c r="I3" s="2" t="s">
        <v>69</v>
      </c>
      <c r="J3" s="2" t="s">
        <v>54</v>
      </c>
      <c r="K3" s="2" t="s">
        <v>70</v>
      </c>
      <c r="L3" s="2" t="s">
        <v>71</v>
      </c>
      <c r="M3" s="2" t="s">
        <v>72</v>
      </c>
      <c r="N3" s="3">
        <v>200000</v>
      </c>
      <c r="O3" s="3">
        <v>15000</v>
      </c>
      <c r="P3" s="3">
        <f t="shared" si="0"/>
        <v>215000</v>
      </c>
      <c r="Q3" s="2" t="s">
        <v>58</v>
      </c>
      <c r="R3" s="2" t="s">
        <v>59</v>
      </c>
      <c r="S3" s="2" t="s">
        <v>60</v>
      </c>
      <c r="T3" s="2" t="s">
        <v>60</v>
      </c>
      <c r="U3" s="2" t="s">
        <v>60</v>
      </c>
      <c r="V3" s="2" t="s">
        <v>60</v>
      </c>
      <c r="W3" s="2" t="s">
        <v>60</v>
      </c>
      <c r="X3" s="2" t="s">
        <v>60</v>
      </c>
      <c r="Y3" s="2" t="s">
        <v>60</v>
      </c>
      <c r="Z3" s="2" t="s">
        <v>60</v>
      </c>
      <c r="AA3" s="2" t="s">
        <v>60</v>
      </c>
      <c r="AB3" s="2" t="s">
        <v>60</v>
      </c>
      <c r="AC3" s="2" t="s">
        <v>60</v>
      </c>
      <c r="AD3" s="2" t="s">
        <v>60</v>
      </c>
      <c r="AE3" s="2" t="s">
        <v>60</v>
      </c>
      <c r="AF3" s="2" t="s">
        <v>60</v>
      </c>
      <c r="AG3" s="2" t="s">
        <v>58</v>
      </c>
      <c r="AH3" s="2" t="s">
        <v>58</v>
      </c>
      <c r="AI3" s="2" t="s">
        <v>58</v>
      </c>
      <c r="AJ3" s="2" t="s">
        <v>58</v>
      </c>
      <c r="AK3" s="2" t="s">
        <v>58</v>
      </c>
      <c r="AL3" s="3">
        <f>SUM(Plano_BA!$K:$K)</f>
        <v>215000</v>
      </c>
      <c r="AM3" s="2" t="str">
        <f t="shared" si="1"/>
        <v>Não</v>
      </c>
      <c r="AN3" s="4">
        <f t="shared" si="2"/>
        <v>1</v>
      </c>
      <c r="AO3" s="4">
        <f t="shared" si="3"/>
        <v>0.61538461538461542</v>
      </c>
      <c r="AP3" s="4">
        <f t="shared" si="4"/>
        <v>0.72222222222222221</v>
      </c>
      <c r="AQ3" s="2" t="str">
        <f t="shared" si="5"/>
        <v>Não</v>
      </c>
      <c r="AR3" s="5">
        <v>46146</v>
      </c>
      <c r="AS3" s="2" t="s">
        <v>61</v>
      </c>
      <c r="AT3" s="2" t="s">
        <v>62</v>
      </c>
    </row>
    <row r="4" spans="1:46" ht="28.8" x14ac:dyDescent="0.3">
      <c r="A4" s="2" t="s">
        <v>73</v>
      </c>
      <c r="B4" s="2" t="s">
        <v>74</v>
      </c>
      <c r="C4" s="2" t="s">
        <v>75</v>
      </c>
      <c r="D4" s="2" t="s">
        <v>49</v>
      </c>
      <c r="E4" s="2" t="s">
        <v>76</v>
      </c>
      <c r="F4" s="2">
        <v>2026</v>
      </c>
      <c r="G4" s="2" t="s">
        <v>77</v>
      </c>
      <c r="H4" s="2" t="s">
        <v>78</v>
      </c>
      <c r="I4" s="2" t="s">
        <v>79</v>
      </c>
      <c r="J4" s="2" t="s">
        <v>54</v>
      </c>
      <c r="K4" s="2" t="s">
        <v>80</v>
      </c>
      <c r="L4" s="2" t="s">
        <v>81</v>
      </c>
      <c r="M4" s="2" t="s">
        <v>82</v>
      </c>
      <c r="N4" s="3">
        <v>200000</v>
      </c>
      <c r="O4" s="3">
        <v>10000</v>
      </c>
      <c r="P4" s="3">
        <f t="shared" si="0"/>
        <v>210000</v>
      </c>
      <c r="Q4" s="2" t="s">
        <v>58</v>
      </c>
      <c r="R4" s="2" t="s">
        <v>59</v>
      </c>
      <c r="S4" s="2" t="s">
        <v>60</v>
      </c>
      <c r="T4" s="2" t="s">
        <v>60</v>
      </c>
      <c r="U4" s="2" t="s">
        <v>60</v>
      </c>
      <c r="V4" s="2" t="s">
        <v>60</v>
      </c>
      <c r="W4" s="2" t="s">
        <v>60</v>
      </c>
      <c r="X4" s="2" t="s">
        <v>58</v>
      </c>
      <c r="Y4" s="2" t="s">
        <v>60</v>
      </c>
      <c r="Z4" s="2" t="s">
        <v>60</v>
      </c>
      <c r="AA4" s="2" t="s">
        <v>60</v>
      </c>
      <c r="AB4" s="2" t="s">
        <v>60</v>
      </c>
      <c r="AC4" s="2" t="s">
        <v>60</v>
      </c>
      <c r="AD4" s="2" t="s">
        <v>58</v>
      </c>
      <c r="AE4" s="2" t="s">
        <v>58</v>
      </c>
      <c r="AF4" s="2" t="s">
        <v>58</v>
      </c>
      <c r="AG4" s="2" t="s">
        <v>58</v>
      </c>
      <c r="AH4" s="2" t="s">
        <v>58</v>
      </c>
      <c r="AI4" s="2" t="s">
        <v>58</v>
      </c>
      <c r="AJ4" s="2" t="s">
        <v>58</v>
      </c>
      <c r="AK4" s="2" t="s">
        <v>58</v>
      </c>
      <c r="AL4" s="3">
        <f>SUM(Plano_CE!$K:$K)</f>
        <v>210000</v>
      </c>
      <c r="AM4" s="2" t="str">
        <f t="shared" si="1"/>
        <v>Não</v>
      </c>
      <c r="AN4" s="4">
        <f t="shared" si="2"/>
        <v>0.8</v>
      </c>
      <c r="AO4" s="4">
        <f t="shared" si="3"/>
        <v>0.38461538461538464</v>
      </c>
      <c r="AP4" s="4">
        <f t="shared" si="4"/>
        <v>0.5</v>
      </c>
      <c r="AQ4" s="2" t="str">
        <f t="shared" si="5"/>
        <v>Não</v>
      </c>
      <c r="AR4" s="5">
        <v>46146</v>
      </c>
      <c r="AS4" s="2" t="s">
        <v>61</v>
      </c>
      <c r="AT4" s="2" t="s">
        <v>62</v>
      </c>
    </row>
    <row r="5" spans="1:46" ht="28.8" x14ac:dyDescent="0.3">
      <c r="A5" s="2" t="s">
        <v>83</v>
      </c>
      <c r="B5" s="2" t="s">
        <v>84</v>
      </c>
      <c r="C5" s="2" t="s">
        <v>85</v>
      </c>
      <c r="D5" s="2" t="s">
        <v>49</v>
      </c>
      <c r="E5" s="2" t="s">
        <v>86</v>
      </c>
      <c r="F5" s="2">
        <v>2026</v>
      </c>
      <c r="G5" s="2" t="s">
        <v>87</v>
      </c>
      <c r="H5" s="2" t="s">
        <v>88</v>
      </c>
      <c r="I5" s="2" t="s">
        <v>89</v>
      </c>
      <c r="J5" s="2" t="s">
        <v>54</v>
      </c>
      <c r="K5" s="2" t="s">
        <v>90</v>
      </c>
      <c r="L5" s="2" t="s">
        <v>91</v>
      </c>
      <c r="M5" s="2" t="s">
        <v>92</v>
      </c>
      <c r="N5" s="3">
        <v>200000</v>
      </c>
      <c r="O5" s="3">
        <v>25000</v>
      </c>
      <c r="P5" s="3">
        <f t="shared" si="0"/>
        <v>225000</v>
      </c>
      <c r="Q5" s="2" t="s">
        <v>58</v>
      </c>
      <c r="R5" s="2" t="s">
        <v>59</v>
      </c>
      <c r="S5" s="2" t="s">
        <v>60</v>
      </c>
      <c r="T5" s="2" t="s">
        <v>60</v>
      </c>
      <c r="U5" s="2" t="s">
        <v>60</v>
      </c>
      <c r="V5" s="2" t="s">
        <v>60</v>
      </c>
      <c r="W5" s="2" t="s">
        <v>60</v>
      </c>
      <c r="X5" s="2" t="s">
        <v>60</v>
      </c>
      <c r="Y5" s="2" t="s">
        <v>60</v>
      </c>
      <c r="Z5" s="2" t="s">
        <v>60</v>
      </c>
      <c r="AA5" s="2" t="s">
        <v>60</v>
      </c>
      <c r="AB5" s="2" t="s">
        <v>60</v>
      </c>
      <c r="AC5" s="2" t="s">
        <v>60</v>
      </c>
      <c r="AD5" s="2" t="s">
        <v>60</v>
      </c>
      <c r="AE5" s="2" t="s">
        <v>60</v>
      </c>
      <c r="AF5" s="2" t="s">
        <v>60</v>
      </c>
      <c r="AG5" s="2" t="s">
        <v>60</v>
      </c>
      <c r="AH5" s="2" t="s">
        <v>60</v>
      </c>
      <c r="AI5" s="2" t="s">
        <v>60</v>
      </c>
      <c r="AJ5" s="2" t="s">
        <v>60</v>
      </c>
      <c r="AK5" s="2" t="s">
        <v>60</v>
      </c>
      <c r="AL5" s="3">
        <f>SUM(Plano_DF!$K:$K)</f>
        <v>225000</v>
      </c>
      <c r="AM5" s="2" t="str">
        <f t="shared" si="1"/>
        <v>Não</v>
      </c>
      <c r="AN5" s="4">
        <f t="shared" si="2"/>
        <v>1</v>
      </c>
      <c r="AO5" s="4">
        <f t="shared" si="3"/>
        <v>1</v>
      </c>
      <c r="AP5" s="4">
        <f t="shared" si="4"/>
        <v>1</v>
      </c>
      <c r="AQ5" s="2" t="str">
        <f t="shared" si="5"/>
        <v>Não</v>
      </c>
      <c r="AR5" s="5">
        <v>46146</v>
      </c>
      <c r="AS5" s="2" t="s">
        <v>61</v>
      </c>
      <c r="AT5" s="2" t="s">
        <v>62</v>
      </c>
    </row>
    <row r="6" spans="1:46" ht="28.8" x14ac:dyDescent="0.3">
      <c r="A6" s="2" t="s">
        <v>93</v>
      </c>
      <c r="B6" s="2" t="s">
        <v>94</v>
      </c>
      <c r="C6" s="2" t="s">
        <v>95</v>
      </c>
      <c r="D6" s="2" t="s">
        <v>49</v>
      </c>
      <c r="E6" s="2" t="s">
        <v>96</v>
      </c>
      <c r="F6" s="2">
        <v>2026</v>
      </c>
      <c r="G6" s="2" t="s">
        <v>97</v>
      </c>
      <c r="H6" s="2" t="s">
        <v>98</v>
      </c>
      <c r="I6" s="2" t="s">
        <v>99</v>
      </c>
      <c r="J6" s="2" t="s">
        <v>54</v>
      </c>
      <c r="K6" s="2" t="s">
        <v>100</v>
      </c>
      <c r="L6" s="2" t="s">
        <v>101</v>
      </c>
      <c r="M6" s="2" t="s">
        <v>102</v>
      </c>
      <c r="N6" s="3">
        <v>200000</v>
      </c>
      <c r="O6" s="3">
        <v>10000</v>
      </c>
      <c r="P6" s="3">
        <f t="shared" si="0"/>
        <v>210000</v>
      </c>
      <c r="Q6" s="2" t="s">
        <v>58</v>
      </c>
      <c r="R6" s="2" t="s">
        <v>59</v>
      </c>
      <c r="S6" s="2" t="s">
        <v>58</v>
      </c>
      <c r="T6" s="2" t="s">
        <v>60</v>
      </c>
      <c r="U6" s="2" t="s">
        <v>60</v>
      </c>
      <c r="V6" s="2" t="s">
        <v>60</v>
      </c>
      <c r="W6" s="2" t="s">
        <v>58</v>
      </c>
      <c r="X6" s="2" t="s">
        <v>58</v>
      </c>
      <c r="Y6" s="2" t="s">
        <v>60</v>
      </c>
      <c r="Z6" s="2" t="s">
        <v>60</v>
      </c>
      <c r="AA6" s="2" t="s">
        <v>58</v>
      </c>
      <c r="AB6" s="2" t="s">
        <v>58</v>
      </c>
      <c r="AC6" s="2" t="s">
        <v>58</v>
      </c>
      <c r="AD6" s="2" t="s">
        <v>58</v>
      </c>
      <c r="AE6" s="2" t="s">
        <v>58</v>
      </c>
      <c r="AF6" s="2" t="s">
        <v>58</v>
      </c>
      <c r="AG6" s="2" t="s">
        <v>58</v>
      </c>
      <c r="AH6" s="2" t="s">
        <v>58</v>
      </c>
      <c r="AI6" s="2" t="s">
        <v>58</v>
      </c>
      <c r="AJ6" s="2" t="s">
        <v>58</v>
      </c>
      <c r="AK6" s="2" t="s">
        <v>58</v>
      </c>
      <c r="AL6" s="3">
        <f>SUM(Plano_ES!$K:$K)</f>
        <v>210000</v>
      </c>
      <c r="AM6" s="2" t="str">
        <f t="shared" si="1"/>
        <v>Não</v>
      </c>
      <c r="AN6" s="4">
        <f t="shared" si="2"/>
        <v>0.6</v>
      </c>
      <c r="AO6" s="4">
        <f t="shared" si="3"/>
        <v>0.15384615384615385</v>
      </c>
      <c r="AP6" s="4">
        <f t="shared" si="4"/>
        <v>0.27777777777777779</v>
      </c>
      <c r="AQ6" s="2" t="str">
        <f t="shared" si="5"/>
        <v>Não</v>
      </c>
      <c r="AR6" s="5">
        <v>46146</v>
      </c>
      <c r="AS6" s="2" t="s">
        <v>61</v>
      </c>
      <c r="AT6" s="2" t="s">
        <v>62</v>
      </c>
    </row>
    <row r="7" spans="1:46" ht="28.8" x14ac:dyDescent="0.3">
      <c r="A7" s="2" t="s">
        <v>103</v>
      </c>
      <c r="B7" s="2" t="s">
        <v>104</v>
      </c>
      <c r="C7" s="2" t="s">
        <v>105</v>
      </c>
      <c r="D7" s="2" t="s">
        <v>49</v>
      </c>
      <c r="E7" s="2" t="s">
        <v>106</v>
      </c>
      <c r="F7" s="2">
        <v>2026</v>
      </c>
      <c r="G7" s="2" t="s">
        <v>107</v>
      </c>
      <c r="H7" s="2" t="s">
        <v>108</v>
      </c>
      <c r="I7" s="2" t="s">
        <v>109</v>
      </c>
      <c r="J7" s="2" t="s">
        <v>54</v>
      </c>
      <c r="K7" s="2" t="s">
        <v>110</v>
      </c>
      <c r="L7" s="2" t="s">
        <v>111</v>
      </c>
      <c r="M7" s="2" t="s">
        <v>112</v>
      </c>
      <c r="N7" s="3">
        <v>200000</v>
      </c>
      <c r="O7" s="3">
        <v>30000</v>
      </c>
      <c r="P7" s="3">
        <f t="shared" si="0"/>
        <v>230000</v>
      </c>
      <c r="Q7" s="2" t="s">
        <v>58</v>
      </c>
      <c r="R7" s="2" t="s">
        <v>59</v>
      </c>
      <c r="S7" s="2" t="s">
        <v>60</v>
      </c>
      <c r="T7" s="2" t="s">
        <v>60</v>
      </c>
      <c r="U7" s="2" t="s">
        <v>60</v>
      </c>
      <c r="V7" s="2" t="s">
        <v>60</v>
      </c>
      <c r="W7" s="2" t="s">
        <v>60</v>
      </c>
      <c r="X7" s="2" t="s">
        <v>58</v>
      </c>
      <c r="Y7" s="2" t="s">
        <v>60</v>
      </c>
      <c r="Z7" s="2" t="s">
        <v>60</v>
      </c>
      <c r="AA7" s="2" t="s">
        <v>60</v>
      </c>
      <c r="AB7" s="2" t="s">
        <v>60</v>
      </c>
      <c r="AC7" s="2" t="s">
        <v>58</v>
      </c>
      <c r="AD7" s="2" t="s">
        <v>58</v>
      </c>
      <c r="AE7" s="2" t="s">
        <v>58</v>
      </c>
      <c r="AF7" s="2" t="s">
        <v>58</v>
      </c>
      <c r="AG7" s="2" t="s">
        <v>58</v>
      </c>
      <c r="AH7" s="2" t="s">
        <v>58</v>
      </c>
      <c r="AI7" s="2" t="s">
        <v>58</v>
      </c>
      <c r="AJ7" s="2" t="s">
        <v>58</v>
      </c>
      <c r="AK7" s="2" t="s">
        <v>58</v>
      </c>
      <c r="AL7" s="3">
        <f>SUM(Plano_MG!$K:$K)</f>
        <v>230000</v>
      </c>
      <c r="AM7" s="2" t="str">
        <f t="shared" si="1"/>
        <v>Não</v>
      </c>
      <c r="AN7" s="4">
        <f t="shared" si="2"/>
        <v>0.8</v>
      </c>
      <c r="AO7" s="4">
        <f t="shared" si="3"/>
        <v>0.30769230769230771</v>
      </c>
      <c r="AP7" s="4">
        <f t="shared" si="4"/>
        <v>0.44444444444444442</v>
      </c>
      <c r="AQ7" s="2" t="str">
        <f t="shared" si="5"/>
        <v>Não</v>
      </c>
      <c r="AR7" s="5">
        <v>46146</v>
      </c>
      <c r="AS7" s="2" t="s">
        <v>61</v>
      </c>
      <c r="AT7" s="2" t="s">
        <v>62</v>
      </c>
    </row>
    <row r="8" spans="1:46" ht="28.8" x14ac:dyDescent="0.3">
      <c r="A8" s="2" t="s">
        <v>113</v>
      </c>
      <c r="B8" s="2" t="s">
        <v>114</v>
      </c>
      <c r="C8" s="2" t="s">
        <v>115</v>
      </c>
      <c r="D8" s="2" t="s">
        <v>116</v>
      </c>
      <c r="E8" s="2" t="s">
        <v>117</v>
      </c>
      <c r="F8" s="2">
        <v>2026</v>
      </c>
      <c r="G8" s="2" t="s">
        <v>77</v>
      </c>
      <c r="H8" s="2" t="s">
        <v>118</v>
      </c>
      <c r="I8" s="2" t="s">
        <v>119</v>
      </c>
      <c r="J8" s="2" t="s">
        <v>54</v>
      </c>
      <c r="K8" s="2" t="s">
        <v>120</v>
      </c>
      <c r="L8" s="2" t="s">
        <v>121</v>
      </c>
      <c r="M8" s="2" t="s">
        <v>122</v>
      </c>
      <c r="N8" s="3">
        <v>200000</v>
      </c>
      <c r="O8" s="3">
        <v>8000</v>
      </c>
      <c r="P8" s="3">
        <f t="shared" si="0"/>
        <v>208000</v>
      </c>
      <c r="Q8" s="2" t="s">
        <v>60</v>
      </c>
      <c r="R8" s="2" t="s">
        <v>58</v>
      </c>
      <c r="S8" s="2" t="s">
        <v>60</v>
      </c>
      <c r="T8" s="2" t="s">
        <v>60</v>
      </c>
      <c r="U8" s="2" t="s">
        <v>60</v>
      </c>
      <c r="V8" s="2" t="s">
        <v>60</v>
      </c>
      <c r="W8" s="2" t="s">
        <v>60</v>
      </c>
      <c r="X8" s="2" t="s">
        <v>58</v>
      </c>
      <c r="Y8" s="2" t="s">
        <v>60</v>
      </c>
      <c r="Z8" s="2" t="s">
        <v>60</v>
      </c>
      <c r="AA8" s="2" t="s">
        <v>60</v>
      </c>
      <c r="AB8" s="2" t="s">
        <v>60</v>
      </c>
      <c r="AC8" s="2" t="s">
        <v>60</v>
      </c>
      <c r="AD8" s="2" t="s">
        <v>58</v>
      </c>
      <c r="AE8" s="2" t="s">
        <v>58</v>
      </c>
      <c r="AF8" s="2" t="s">
        <v>58</v>
      </c>
      <c r="AG8" s="2" t="s">
        <v>58</v>
      </c>
      <c r="AH8" s="2" t="s">
        <v>58</v>
      </c>
      <c r="AI8" s="2" t="s">
        <v>58</v>
      </c>
      <c r="AJ8" s="2" t="s">
        <v>58</v>
      </c>
      <c r="AK8" s="2" t="s">
        <v>58</v>
      </c>
      <c r="AL8" s="3">
        <f>SUM(Plano_PA!$K:$K)</f>
        <v>208000</v>
      </c>
      <c r="AM8" s="2" t="str">
        <f t="shared" si="1"/>
        <v>Não</v>
      </c>
      <c r="AN8" s="4">
        <f t="shared" si="2"/>
        <v>0.8</v>
      </c>
      <c r="AO8" s="4">
        <f t="shared" si="3"/>
        <v>0.38461538461538464</v>
      </c>
      <c r="AP8" s="4">
        <f t="shared" si="4"/>
        <v>0.5</v>
      </c>
      <c r="AQ8" s="2" t="str">
        <f t="shared" si="5"/>
        <v>Sim</v>
      </c>
      <c r="AR8" s="5">
        <v>46146</v>
      </c>
      <c r="AS8" s="2" t="s">
        <v>61</v>
      </c>
      <c r="AT8" s="2" t="s">
        <v>62</v>
      </c>
    </row>
    <row r="9" spans="1:46" ht="28.8" x14ac:dyDescent="0.3">
      <c r="A9" s="2" t="s">
        <v>123</v>
      </c>
      <c r="B9" s="2" t="s">
        <v>124</v>
      </c>
      <c r="C9" s="2" t="s">
        <v>125</v>
      </c>
      <c r="D9" s="2" t="s">
        <v>49</v>
      </c>
      <c r="E9" s="2" t="s">
        <v>126</v>
      </c>
      <c r="F9" s="2">
        <v>2026</v>
      </c>
      <c r="G9" s="2" t="s">
        <v>51</v>
      </c>
      <c r="H9" s="2" t="s">
        <v>127</v>
      </c>
      <c r="I9" s="2" t="s">
        <v>128</v>
      </c>
      <c r="J9" s="2" t="s">
        <v>54</v>
      </c>
      <c r="K9" s="2" t="s">
        <v>129</v>
      </c>
      <c r="L9" s="2" t="s">
        <v>130</v>
      </c>
      <c r="M9" s="2" t="s">
        <v>131</v>
      </c>
      <c r="N9" s="3">
        <v>200000</v>
      </c>
      <c r="O9" s="3">
        <v>14000</v>
      </c>
      <c r="P9" s="3">
        <f t="shared" si="0"/>
        <v>214000</v>
      </c>
      <c r="Q9" s="2" t="s">
        <v>58</v>
      </c>
      <c r="R9" s="2" t="s">
        <v>59</v>
      </c>
      <c r="S9" s="2" t="s">
        <v>60</v>
      </c>
      <c r="T9" s="2" t="s">
        <v>60</v>
      </c>
      <c r="U9" s="2" t="s">
        <v>60</v>
      </c>
      <c r="V9" s="2" t="s">
        <v>60</v>
      </c>
      <c r="W9" s="2" t="s">
        <v>60</v>
      </c>
      <c r="X9" s="2" t="s">
        <v>60</v>
      </c>
      <c r="Y9" s="2" t="s">
        <v>60</v>
      </c>
      <c r="Z9" s="2" t="s">
        <v>60</v>
      </c>
      <c r="AA9" s="2" t="s">
        <v>60</v>
      </c>
      <c r="AB9" s="2" t="s">
        <v>60</v>
      </c>
      <c r="AC9" s="2" t="s">
        <v>60</v>
      </c>
      <c r="AD9" s="2" t="s">
        <v>60</v>
      </c>
      <c r="AE9" s="2" t="s">
        <v>60</v>
      </c>
      <c r="AF9" s="2" t="s">
        <v>60</v>
      </c>
      <c r="AG9" s="2" t="s">
        <v>60</v>
      </c>
      <c r="AH9" s="2" t="s">
        <v>58</v>
      </c>
      <c r="AI9" s="2" t="s">
        <v>58</v>
      </c>
      <c r="AJ9" s="2" t="s">
        <v>58</v>
      </c>
      <c r="AK9" s="2" t="s">
        <v>58</v>
      </c>
      <c r="AL9" s="3">
        <f>SUM(Plano_PE!$K:$K)</f>
        <v>214000</v>
      </c>
      <c r="AM9" s="2" t="str">
        <f t="shared" si="1"/>
        <v>Não</v>
      </c>
      <c r="AN9" s="4">
        <f t="shared" si="2"/>
        <v>1</v>
      </c>
      <c r="AO9" s="4">
        <f t="shared" si="3"/>
        <v>0.69230769230769229</v>
      </c>
      <c r="AP9" s="4">
        <f t="shared" si="4"/>
        <v>0.77777777777777779</v>
      </c>
      <c r="AQ9" s="2" t="str">
        <f t="shared" si="5"/>
        <v>Não</v>
      </c>
      <c r="AR9" s="5">
        <v>46146</v>
      </c>
      <c r="AS9" s="2" t="s">
        <v>61</v>
      </c>
      <c r="AT9" s="2" t="s">
        <v>62</v>
      </c>
    </row>
    <row r="10" spans="1:46" ht="28.8" x14ac:dyDescent="0.3">
      <c r="A10" s="2" t="s">
        <v>132</v>
      </c>
      <c r="B10" s="2" t="s">
        <v>133</v>
      </c>
      <c r="C10" s="2" t="s">
        <v>134</v>
      </c>
      <c r="D10" s="2" t="s">
        <v>49</v>
      </c>
      <c r="E10" s="2" t="s">
        <v>135</v>
      </c>
      <c r="F10" s="2">
        <v>2026</v>
      </c>
      <c r="G10" s="2" t="s">
        <v>136</v>
      </c>
      <c r="H10" s="2" t="s">
        <v>137</v>
      </c>
      <c r="I10" s="2" t="s">
        <v>138</v>
      </c>
      <c r="J10" s="2" t="s">
        <v>54</v>
      </c>
      <c r="K10" s="2" t="s">
        <v>139</v>
      </c>
      <c r="L10" s="2" t="s">
        <v>140</v>
      </c>
      <c r="M10" s="2" t="s">
        <v>141</v>
      </c>
      <c r="N10" s="3">
        <v>200000</v>
      </c>
      <c r="O10" s="3">
        <v>9000</v>
      </c>
      <c r="P10" s="3">
        <f t="shared" si="0"/>
        <v>209000</v>
      </c>
      <c r="Q10" s="2" t="s">
        <v>58</v>
      </c>
      <c r="R10" s="2" t="s">
        <v>59</v>
      </c>
      <c r="S10" s="2" t="s">
        <v>58</v>
      </c>
      <c r="T10" s="2" t="s">
        <v>60</v>
      </c>
      <c r="U10" s="2" t="s">
        <v>60</v>
      </c>
      <c r="V10" s="2" t="s">
        <v>60</v>
      </c>
      <c r="W10" s="2" t="s">
        <v>58</v>
      </c>
      <c r="X10" s="2" t="s">
        <v>58</v>
      </c>
      <c r="Y10" s="2" t="s">
        <v>60</v>
      </c>
      <c r="Z10" s="2" t="s">
        <v>60</v>
      </c>
      <c r="AA10" s="2" t="s">
        <v>60</v>
      </c>
      <c r="AB10" s="2" t="s">
        <v>58</v>
      </c>
      <c r="AC10" s="2" t="s">
        <v>58</v>
      </c>
      <c r="AD10" s="2" t="s">
        <v>58</v>
      </c>
      <c r="AE10" s="2" t="s">
        <v>58</v>
      </c>
      <c r="AF10" s="2" t="s">
        <v>58</v>
      </c>
      <c r="AG10" s="2" t="s">
        <v>58</v>
      </c>
      <c r="AH10" s="2" t="s">
        <v>58</v>
      </c>
      <c r="AI10" s="2" t="s">
        <v>58</v>
      </c>
      <c r="AJ10" s="2" t="s">
        <v>58</v>
      </c>
      <c r="AK10" s="2" t="s">
        <v>58</v>
      </c>
      <c r="AL10" s="3">
        <f>SUM(Plano_RN!$K:$K)</f>
        <v>209000</v>
      </c>
      <c r="AM10" s="2" t="str">
        <f t="shared" si="1"/>
        <v>Não</v>
      </c>
      <c r="AN10" s="4">
        <f t="shared" si="2"/>
        <v>0.6</v>
      </c>
      <c r="AO10" s="4">
        <f t="shared" si="3"/>
        <v>0.23076923076923078</v>
      </c>
      <c r="AP10" s="4">
        <f t="shared" si="4"/>
        <v>0.33333333333333331</v>
      </c>
      <c r="AQ10" s="2" t="str">
        <f t="shared" si="5"/>
        <v>Não</v>
      </c>
      <c r="AR10" s="5">
        <v>46146</v>
      </c>
      <c r="AS10" s="2" t="s">
        <v>61</v>
      </c>
      <c r="AT10" s="2" t="s">
        <v>62</v>
      </c>
    </row>
    <row r="11" spans="1:46" ht="28.8" x14ac:dyDescent="0.3">
      <c r="A11" s="2" t="s">
        <v>142</v>
      </c>
      <c r="B11" s="2" t="s">
        <v>143</v>
      </c>
      <c r="C11" s="2" t="s">
        <v>144</v>
      </c>
      <c r="D11" s="2" t="s">
        <v>116</v>
      </c>
      <c r="E11" s="2" t="s">
        <v>145</v>
      </c>
      <c r="F11" s="2">
        <v>2026</v>
      </c>
      <c r="G11" s="2" t="s">
        <v>146</v>
      </c>
      <c r="H11" s="2" t="s">
        <v>147</v>
      </c>
      <c r="I11" s="2" t="s">
        <v>148</v>
      </c>
      <c r="J11" s="2" t="s">
        <v>54</v>
      </c>
      <c r="K11" s="2" t="s">
        <v>149</v>
      </c>
      <c r="L11" s="2" t="s">
        <v>150</v>
      </c>
      <c r="M11" s="2" t="s">
        <v>151</v>
      </c>
      <c r="N11" s="3">
        <v>200000</v>
      </c>
      <c r="O11" s="3">
        <v>18000</v>
      </c>
      <c r="P11" s="3">
        <f t="shared" si="0"/>
        <v>218000</v>
      </c>
      <c r="Q11" s="2" t="s">
        <v>60</v>
      </c>
      <c r="R11" s="2" t="s">
        <v>60</v>
      </c>
      <c r="S11" s="2" t="s">
        <v>60</v>
      </c>
      <c r="T11" s="2" t="s">
        <v>60</v>
      </c>
      <c r="U11" s="2" t="s">
        <v>60</v>
      </c>
      <c r="V11" s="2" t="s">
        <v>60</v>
      </c>
      <c r="W11" s="2" t="s">
        <v>60</v>
      </c>
      <c r="X11" s="2" t="s">
        <v>60</v>
      </c>
      <c r="Y11" s="2" t="s">
        <v>60</v>
      </c>
      <c r="Z11" s="2" t="s">
        <v>60</v>
      </c>
      <c r="AA11" s="2" t="s">
        <v>60</v>
      </c>
      <c r="AB11" s="2" t="s">
        <v>60</v>
      </c>
      <c r="AC11" s="2" t="s">
        <v>60</v>
      </c>
      <c r="AD11" s="2" t="s">
        <v>60</v>
      </c>
      <c r="AE11" s="2" t="s">
        <v>60</v>
      </c>
      <c r="AF11" s="2" t="s">
        <v>60</v>
      </c>
      <c r="AG11" s="2" t="s">
        <v>58</v>
      </c>
      <c r="AH11" s="2" t="s">
        <v>58</v>
      </c>
      <c r="AI11" s="2" t="s">
        <v>58</v>
      </c>
      <c r="AJ11" s="2" t="s">
        <v>58</v>
      </c>
      <c r="AK11" s="2" t="s">
        <v>58</v>
      </c>
      <c r="AL11" s="3">
        <f>SUM(Plano_RS!$K:$K)</f>
        <v>218000</v>
      </c>
      <c r="AM11" s="2" t="str">
        <f t="shared" si="1"/>
        <v>Não</v>
      </c>
      <c r="AN11" s="4">
        <f t="shared" si="2"/>
        <v>1</v>
      </c>
      <c r="AO11" s="4">
        <f t="shared" si="3"/>
        <v>0.61538461538461542</v>
      </c>
      <c r="AP11" s="4">
        <f t="shared" si="4"/>
        <v>0.72222222222222221</v>
      </c>
      <c r="AQ11" s="2" t="str">
        <f t="shared" si="5"/>
        <v>Não</v>
      </c>
      <c r="AR11" s="5">
        <v>46146</v>
      </c>
      <c r="AS11" s="2" t="s">
        <v>61</v>
      </c>
      <c r="AT11" s="2" t="s">
        <v>62</v>
      </c>
    </row>
    <row r="12" spans="1:46" ht="28.8" x14ac:dyDescent="0.3">
      <c r="A12" s="2" t="s">
        <v>152</v>
      </c>
      <c r="B12" s="2" t="s">
        <v>153</v>
      </c>
      <c r="C12" s="2" t="s">
        <v>154</v>
      </c>
      <c r="D12" s="2" t="s">
        <v>116</v>
      </c>
      <c r="E12" s="2" t="s">
        <v>155</v>
      </c>
      <c r="F12" s="2">
        <v>2026</v>
      </c>
      <c r="G12" s="2" t="s">
        <v>156</v>
      </c>
      <c r="H12" s="2" t="s">
        <v>157</v>
      </c>
      <c r="I12" s="2" t="s">
        <v>158</v>
      </c>
      <c r="J12" s="2" t="s">
        <v>54</v>
      </c>
      <c r="K12" s="2" t="s">
        <v>159</v>
      </c>
      <c r="L12" s="2" t="s">
        <v>160</v>
      </c>
      <c r="M12" s="2" t="s">
        <v>161</v>
      </c>
      <c r="N12" s="3">
        <v>200000</v>
      </c>
      <c r="O12" s="3">
        <v>7000</v>
      </c>
      <c r="P12" s="3">
        <f t="shared" si="0"/>
        <v>207000</v>
      </c>
      <c r="Q12" s="2" t="s">
        <v>60</v>
      </c>
      <c r="R12" s="2" t="s">
        <v>58</v>
      </c>
      <c r="S12" s="2" t="s">
        <v>60</v>
      </c>
      <c r="T12" s="2" t="s">
        <v>60</v>
      </c>
      <c r="U12" s="2" t="s">
        <v>60</v>
      </c>
      <c r="V12" s="2" t="s">
        <v>60</v>
      </c>
      <c r="W12" s="2" t="s">
        <v>60</v>
      </c>
      <c r="X12" s="2" t="s">
        <v>58</v>
      </c>
      <c r="Y12" s="2" t="s">
        <v>60</v>
      </c>
      <c r="Z12" s="2" t="s">
        <v>60</v>
      </c>
      <c r="AA12" s="2" t="s">
        <v>60</v>
      </c>
      <c r="AB12" s="2" t="s">
        <v>60</v>
      </c>
      <c r="AC12" s="2" t="s">
        <v>60</v>
      </c>
      <c r="AD12" s="2" t="s">
        <v>60</v>
      </c>
      <c r="AE12" s="2" t="s">
        <v>60</v>
      </c>
      <c r="AF12" s="2" t="s">
        <v>58</v>
      </c>
      <c r="AG12" s="2" t="s">
        <v>58</v>
      </c>
      <c r="AH12" s="2" t="s">
        <v>58</v>
      </c>
      <c r="AI12" s="2" t="s">
        <v>58</v>
      </c>
      <c r="AJ12" s="2" t="s">
        <v>58</v>
      </c>
      <c r="AK12" s="2" t="s">
        <v>58</v>
      </c>
      <c r="AL12" s="3">
        <f>SUM(Plano_SE!$K:$K)</f>
        <v>207000</v>
      </c>
      <c r="AM12" s="2" t="str">
        <f t="shared" si="1"/>
        <v>Não</v>
      </c>
      <c r="AN12" s="4">
        <f t="shared" si="2"/>
        <v>0.8</v>
      </c>
      <c r="AO12" s="4">
        <f t="shared" si="3"/>
        <v>0.53846153846153844</v>
      </c>
      <c r="AP12" s="4">
        <f t="shared" si="4"/>
        <v>0.61111111111111116</v>
      </c>
      <c r="AQ12" s="2" t="str">
        <f t="shared" si="5"/>
        <v>Sim</v>
      </c>
      <c r="AR12" s="5">
        <v>46146</v>
      </c>
      <c r="AS12" s="2" t="s">
        <v>61</v>
      </c>
      <c r="AT12" s="2" t="s">
        <v>62</v>
      </c>
    </row>
    <row r="13" spans="1:46" ht="28.8" x14ac:dyDescent="0.3">
      <c r="A13" s="2" t="s">
        <v>162</v>
      </c>
      <c r="B13" s="2" t="s">
        <v>163</v>
      </c>
      <c r="C13" s="2" t="s">
        <v>164</v>
      </c>
      <c r="D13" s="2" t="s">
        <v>116</v>
      </c>
      <c r="E13" s="2" t="s">
        <v>165</v>
      </c>
      <c r="F13" s="2">
        <v>2026</v>
      </c>
      <c r="G13" s="2" t="s">
        <v>107</v>
      </c>
      <c r="H13" s="2" t="s">
        <v>166</v>
      </c>
      <c r="I13" s="2" t="s">
        <v>167</v>
      </c>
      <c r="J13" s="2" t="s">
        <v>54</v>
      </c>
      <c r="K13" s="2" t="s">
        <v>168</v>
      </c>
      <c r="L13" s="2" t="s">
        <v>169</v>
      </c>
      <c r="M13" s="2" t="s">
        <v>170</v>
      </c>
      <c r="N13" s="3">
        <v>200000</v>
      </c>
      <c r="O13" s="3">
        <v>6000</v>
      </c>
      <c r="P13" s="3">
        <f t="shared" si="0"/>
        <v>206000</v>
      </c>
      <c r="Q13" s="2" t="s">
        <v>60</v>
      </c>
      <c r="R13" s="2" t="s">
        <v>58</v>
      </c>
      <c r="S13" s="2" t="s">
        <v>58</v>
      </c>
      <c r="T13" s="2" t="s">
        <v>60</v>
      </c>
      <c r="U13" s="2" t="s">
        <v>60</v>
      </c>
      <c r="V13" s="2" t="s">
        <v>60</v>
      </c>
      <c r="W13" s="2" t="s">
        <v>58</v>
      </c>
      <c r="X13" s="2" t="s">
        <v>58</v>
      </c>
      <c r="Y13" s="2" t="s">
        <v>60</v>
      </c>
      <c r="Z13" s="2" t="s">
        <v>60</v>
      </c>
      <c r="AA13" s="2" t="s">
        <v>60</v>
      </c>
      <c r="AB13" s="2" t="s">
        <v>58</v>
      </c>
      <c r="AC13" s="2" t="s">
        <v>58</v>
      </c>
      <c r="AD13" s="2" t="s">
        <v>58</v>
      </c>
      <c r="AE13" s="2" t="s">
        <v>58</v>
      </c>
      <c r="AF13" s="2" t="s">
        <v>58</v>
      </c>
      <c r="AG13" s="2" t="s">
        <v>58</v>
      </c>
      <c r="AH13" s="2" t="s">
        <v>58</v>
      </c>
      <c r="AI13" s="2" t="s">
        <v>58</v>
      </c>
      <c r="AJ13" s="2" t="s">
        <v>58</v>
      </c>
      <c r="AK13" s="2" t="s">
        <v>58</v>
      </c>
      <c r="AL13" s="3">
        <f>SUM(Plano_RR!$K:$K)</f>
        <v>206000</v>
      </c>
      <c r="AM13" s="2" t="str">
        <f t="shared" si="1"/>
        <v>Não</v>
      </c>
      <c r="AN13" s="4">
        <f t="shared" si="2"/>
        <v>0.6</v>
      </c>
      <c r="AO13" s="4">
        <f t="shared" si="3"/>
        <v>0.23076923076923078</v>
      </c>
      <c r="AP13" s="4">
        <f t="shared" si="4"/>
        <v>0.33333333333333331</v>
      </c>
      <c r="AQ13" s="2" t="str">
        <f t="shared" si="5"/>
        <v>Sim</v>
      </c>
      <c r="AR13" s="5">
        <v>46146</v>
      </c>
      <c r="AS13" s="2" t="s">
        <v>61</v>
      </c>
      <c r="AT13" s="2" t="s">
        <v>62</v>
      </c>
    </row>
    <row r="14" spans="1:46" ht="28.8" x14ac:dyDescent="0.3">
      <c r="A14" s="2" t="s">
        <v>171</v>
      </c>
      <c r="B14" s="2" t="s">
        <v>172</v>
      </c>
      <c r="C14" s="2" t="s">
        <v>173</v>
      </c>
      <c r="D14" s="2" t="s">
        <v>49</v>
      </c>
      <c r="E14" s="2" t="s">
        <v>174</v>
      </c>
      <c r="F14" s="2">
        <v>2026</v>
      </c>
      <c r="G14" s="2" t="s">
        <v>87</v>
      </c>
      <c r="H14" s="2" t="s">
        <v>175</v>
      </c>
      <c r="I14" s="2" t="s">
        <v>176</v>
      </c>
      <c r="J14" s="2" t="s">
        <v>54</v>
      </c>
      <c r="K14" s="2" t="s">
        <v>177</v>
      </c>
      <c r="L14" s="2" t="s">
        <v>178</v>
      </c>
      <c r="M14" s="2" t="s">
        <v>179</v>
      </c>
      <c r="N14" s="3">
        <v>200000</v>
      </c>
      <c r="O14" s="3">
        <v>16000</v>
      </c>
      <c r="P14" s="3">
        <f t="shared" si="0"/>
        <v>216000</v>
      </c>
      <c r="Q14" s="2" t="s">
        <v>58</v>
      </c>
      <c r="R14" s="2" t="s">
        <v>59</v>
      </c>
      <c r="S14" s="2" t="s">
        <v>60</v>
      </c>
      <c r="T14" s="2" t="s">
        <v>60</v>
      </c>
      <c r="U14" s="2" t="s">
        <v>60</v>
      </c>
      <c r="V14" s="2" t="s">
        <v>60</v>
      </c>
      <c r="W14" s="2" t="s">
        <v>60</v>
      </c>
      <c r="X14" s="2" t="s">
        <v>60</v>
      </c>
      <c r="Y14" s="2" t="s">
        <v>60</v>
      </c>
      <c r="Z14" s="2" t="s">
        <v>60</v>
      </c>
      <c r="AA14" s="2" t="s">
        <v>60</v>
      </c>
      <c r="AB14" s="2" t="s">
        <v>60</v>
      </c>
      <c r="AC14" s="2" t="s">
        <v>60</v>
      </c>
      <c r="AD14" s="2" t="s">
        <v>60</v>
      </c>
      <c r="AE14" s="2" t="s">
        <v>60</v>
      </c>
      <c r="AF14" s="2" t="s">
        <v>60</v>
      </c>
      <c r="AG14" s="2" t="s">
        <v>60</v>
      </c>
      <c r="AH14" s="2" t="s">
        <v>60</v>
      </c>
      <c r="AI14" s="2" t="s">
        <v>60</v>
      </c>
      <c r="AJ14" s="2" t="s">
        <v>60</v>
      </c>
      <c r="AK14" s="2" t="s">
        <v>58</v>
      </c>
      <c r="AL14" s="3">
        <f>SUM(Plano_GO!$K:$K)</f>
        <v>216000</v>
      </c>
      <c r="AM14" s="2" t="str">
        <f t="shared" si="1"/>
        <v>Não</v>
      </c>
      <c r="AN14" s="4">
        <f t="shared" si="2"/>
        <v>1</v>
      </c>
      <c r="AO14" s="4">
        <f t="shared" si="3"/>
        <v>0.92307692307692313</v>
      </c>
      <c r="AP14" s="4">
        <f t="shared" si="4"/>
        <v>0.94444444444444442</v>
      </c>
      <c r="AQ14" s="2" t="str">
        <f t="shared" si="5"/>
        <v>Não</v>
      </c>
      <c r="AR14" s="5">
        <v>46146</v>
      </c>
      <c r="AS14" s="2" t="s">
        <v>61</v>
      </c>
      <c r="AT14" s="2" t="s">
        <v>62</v>
      </c>
    </row>
    <row r="15" spans="1:46" ht="28.8" x14ac:dyDescent="0.3">
      <c r="A15" s="2" t="s">
        <v>180</v>
      </c>
      <c r="B15" s="2" t="s">
        <v>181</v>
      </c>
      <c r="C15" s="2" t="s">
        <v>182</v>
      </c>
      <c r="D15" s="2" t="s">
        <v>49</v>
      </c>
      <c r="E15" s="2" t="s">
        <v>183</v>
      </c>
      <c r="F15" s="2">
        <v>2026</v>
      </c>
      <c r="G15" s="2" t="s">
        <v>51</v>
      </c>
      <c r="H15" s="2" t="s">
        <v>184</v>
      </c>
      <c r="I15" s="2" t="s">
        <v>185</v>
      </c>
      <c r="J15" s="2" t="s">
        <v>54</v>
      </c>
      <c r="K15" s="2" t="s">
        <v>186</v>
      </c>
      <c r="L15" s="2" t="s">
        <v>187</v>
      </c>
      <c r="M15" s="2" t="s">
        <v>188</v>
      </c>
      <c r="N15" s="3">
        <v>200000</v>
      </c>
      <c r="O15" s="3">
        <v>11000</v>
      </c>
      <c r="P15" s="3">
        <f t="shared" si="0"/>
        <v>211000</v>
      </c>
      <c r="Q15" s="2" t="s">
        <v>58</v>
      </c>
      <c r="R15" s="2" t="s">
        <v>59</v>
      </c>
      <c r="S15" s="2" t="s">
        <v>60</v>
      </c>
      <c r="T15" s="2" t="s">
        <v>60</v>
      </c>
      <c r="U15" s="2" t="s">
        <v>60</v>
      </c>
      <c r="V15" s="2" t="s">
        <v>60</v>
      </c>
      <c r="W15" s="2" t="s">
        <v>60</v>
      </c>
      <c r="X15" s="2" t="s">
        <v>60</v>
      </c>
      <c r="Y15" s="2" t="s">
        <v>60</v>
      </c>
      <c r="Z15" s="2" t="s">
        <v>60</v>
      </c>
      <c r="AA15" s="2" t="s">
        <v>60</v>
      </c>
      <c r="AB15" s="2" t="s">
        <v>60</v>
      </c>
      <c r="AC15" s="2" t="s">
        <v>60</v>
      </c>
      <c r="AD15" s="2" t="s">
        <v>60</v>
      </c>
      <c r="AE15" s="2" t="s">
        <v>60</v>
      </c>
      <c r="AF15" s="2" t="s">
        <v>60</v>
      </c>
      <c r="AG15" s="2" t="s">
        <v>58</v>
      </c>
      <c r="AH15" s="2" t="s">
        <v>58</v>
      </c>
      <c r="AI15" s="2" t="s">
        <v>58</v>
      </c>
      <c r="AJ15" s="2" t="s">
        <v>58</v>
      </c>
      <c r="AK15" s="2" t="s">
        <v>58</v>
      </c>
      <c r="AL15" s="3">
        <f>SUM(Plano_AM!$K:$K)</f>
        <v>211000</v>
      </c>
      <c r="AM15" s="2" t="str">
        <f t="shared" si="1"/>
        <v>Não</v>
      </c>
      <c r="AN15" s="4">
        <f t="shared" si="2"/>
        <v>1</v>
      </c>
      <c r="AO15" s="4">
        <f t="shared" si="3"/>
        <v>0.61538461538461542</v>
      </c>
      <c r="AP15" s="4">
        <f t="shared" si="4"/>
        <v>0.72222222222222221</v>
      </c>
      <c r="AQ15" s="2" t="str">
        <f t="shared" si="5"/>
        <v>Não</v>
      </c>
      <c r="AR15" s="5">
        <v>46146</v>
      </c>
      <c r="AS15" s="2" t="s">
        <v>61</v>
      </c>
      <c r="AT15" s="2" t="s">
        <v>62</v>
      </c>
    </row>
    <row r="16" spans="1:46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</row>
  </sheetData>
  <conditionalFormatting sqref="T2:AK15">
    <cfRule type="expression" dxfId="4" priority="1">
      <formula>T2="Sim"</formula>
    </cfRule>
    <cfRule type="expression" dxfId="3" priority="2">
      <formula>T2="Não"</formula>
    </cfRule>
  </conditionalFormatting>
  <conditionalFormatting sqref="AM2:AM15">
    <cfRule type="expression" dxfId="2" priority="3">
      <formula>AM2="Sim"</formula>
    </cfRule>
  </conditionalFormatting>
  <conditionalFormatting sqref="AN2:AP15">
    <cfRule type="dataBar" priority="5">
      <dataBar>
        <cfvo type="min"/>
        <cfvo type="max"/>
        <color rgb="FF5B9BD5"/>
      </dataBar>
    </cfRule>
    <cfRule type="dataBar" priority="6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{334FE91A-4263-54FD-C59D-1AC909A036CC}</x14:id>
        </ext>
      </extLst>
    </cfRule>
  </conditionalFormatting>
  <conditionalFormatting sqref="AQ2:AQ15">
    <cfRule type="expression" dxfId="1" priority="4">
      <formula>AQ2="Sim"</formula>
    </cfRule>
  </conditionalFormatting>
  <dataValidations count="3">
    <dataValidation type="list" sqref="G2:G15" xr:uid="{00000000-0002-0000-0000-000000000000}">
      <formula1>_xlfn._LONGTEXT("Não iniciada,Proposta em elaboração,Proposta cadastrada,Em análise do projeto,Em análise técnica,Em complementação pelo Estado,Projeto aprovado,Em análise de formalização,Formalização pendente,Apta à formalização,Apta à celebração,Convênio celebrado,Instr","umento publicado,Em execução")</formula1>
    </dataValidation>
    <dataValidation type="list" sqref="Q2:S15" xr:uid="{00000000-0002-0000-0000-000001000000}">
      <formula1>"Sim,Não,Não se aplica"</formula1>
    </dataValidation>
    <dataValidation type="list" sqref="T2:AK15" xr:uid="{00000000-0002-0000-0000-000002000000}">
      <formula1>"Sim,Não"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34FE91A-4263-54FD-C59D-1AC909A036CC}">
            <x14:dataBar>
              <x14:cfvo type="min"/>
              <x14:cfvo type="max"/>
              <x14:negativeFillColor auto="1"/>
              <x14:axisColor auto="1"/>
            </x14:dataBar>
          </x14:cfRule>
          <xm:sqref>AN2:AP15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57"/>
  <sheetViews>
    <sheetView workbookViewId="0"/>
  </sheetViews>
  <sheetFormatPr defaultRowHeight="14.4" x14ac:dyDescent="0.3"/>
  <cols>
    <col min="1" max="1" width="28" customWidth="1"/>
    <col min="2" max="2" width="16" customWidth="1"/>
    <col min="3" max="3" width="8" customWidth="1"/>
    <col min="4" max="4" width="18" customWidth="1"/>
    <col min="5" max="5" width="14" customWidth="1"/>
    <col min="6" max="6" width="36" customWidth="1"/>
    <col min="7" max="7" width="12" customWidth="1"/>
    <col min="8" max="8" width="10" customWidth="1"/>
    <col min="9" max="9" width="14" customWidth="1"/>
    <col min="10" max="11" width="18" customWidth="1"/>
    <col min="12" max="12" width="28" customWidth="1"/>
    <col min="13" max="13" width="40" customWidth="1"/>
    <col min="14" max="14" width="14" customWidth="1"/>
    <col min="15" max="15" width="36" customWidth="1"/>
  </cols>
  <sheetData>
    <row r="1" spans="1:15" ht="19.2" customHeight="1" x14ac:dyDescent="0.3">
      <c r="A1" s="1" t="s">
        <v>189</v>
      </c>
      <c r="B1" s="1" t="s">
        <v>0</v>
      </c>
      <c r="C1" s="1" t="s">
        <v>1</v>
      </c>
      <c r="D1" s="1" t="s">
        <v>190</v>
      </c>
      <c r="E1" s="1" t="s">
        <v>191</v>
      </c>
      <c r="F1" s="1" t="s">
        <v>192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197</v>
      </c>
      <c r="L1" s="1" t="s">
        <v>198</v>
      </c>
      <c r="M1" s="1" t="s">
        <v>199</v>
      </c>
      <c r="N1" s="1" t="s">
        <v>200</v>
      </c>
      <c r="O1" s="1" t="s">
        <v>201</v>
      </c>
    </row>
    <row r="2" spans="1:15" ht="28.8" x14ac:dyDescent="0.3">
      <c r="A2" s="2" t="s">
        <v>202</v>
      </c>
      <c r="B2" s="2" t="s">
        <v>46</v>
      </c>
      <c r="C2" s="2" t="s">
        <v>47</v>
      </c>
      <c r="D2" s="2" t="s">
        <v>203</v>
      </c>
      <c r="E2" s="2" t="s">
        <v>19</v>
      </c>
      <c r="F2" s="2" t="s">
        <v>204</v>
      </c>
      <c r="G2" s="2" t="s">
        <v>60</v>
      </c>
      <c r="H2" s="2" t="s">
        <v>60</v>
      </c>
      <c r="I2" s="5">
        <v>46133</v>
      </c>
      <c r="J2" s="2" t="s">
        <v>205</v>
      </c>
      <c r="K2" s="2" t="s">
        <v>206</v>
      </c>
      <c r="L2" s="2" t="s">
        <v>207</v>
      </c>
      <c r="M2" s="2"/>
      <c r="N2" s="5">
        <v>46146</v>
      </c>
      <c r="O2" s="2" t="s">
        <v>208</v>
      </c>
    </row>
    <row r="3" spans="1:15" ht="28.8" x14ac:dyDescent="0.3">
      <c r="A3" s="2" t="s">
        <v>209</v>
      </c>
      <c r="B3" s="2" t="s">
        <v>46</v>
      </c>
      <c r="C3" s="2" t="s">
        <v>47</v>
      </c>
      <c r="D3" s="2" t="s">
        <v>203</v>
      </c>
      <c r="E3" s="2" t="s">
        <v>20</v>
      </c>
      <c r="F3" s="2" t="s">
        <v>210</v>
      </c>
      <c r="G3" s="2" t="s">
        <v>60</v>
      </c>
      <c r="H3" s="2" t="s">
        <v>60</v>
      </c>
      <c r="I3" s="5">
        <v>46133</v>
      </c>
      <c r="J3" s="2" t="s">
        <v>205</v>
      </c>
      <c r="K3" s="2" t="s">
        <v>206</v>
      </c>
      <c r="L3" s="2" t="s">
        <v>211</v>
      </c>
      <c r="M3" s="2"/>
      <c r="N3" s="5">
        <v>46146</v>
      </c>
      <c r="O3" s="2" t="s">
        <v>208</v>
      </c>
    </row>
    <row r="4" spans="1:15" ht="28.8" x14ac:dyDescent="0.3">
      <c r="A4" s="2" t="s">
        <v>212</v>
      </c>
      <c r="B4" s="2" t="s">
        <v>46</v>
      </c>
      <c r="C4" s="2" t="s">
        <v>47</v>
      </c>
      <c r="D4" s="2" t="s">
        <v>203</v>
      </c>
      <c r="E4" s="2" t="s">
        <v>21</v>
      </c>
      <c r="F4" s="2" t="s">
        <v>213</v>
      </c>
      <c r="G4" s="2" t="s">
        <v>60</v>
      </c>
      <c r="H4" s="2" t="s">
        <v>60</v>
      </c>
      <c r="I4" s="5">
        <v>46133</v>
      </c>
      <c r="J4" s="2" t="s">
        <v>205</v>
      </c>
      <c r="K4" s="2" t="s">
        <v>206</v>
      </c>
      <c r="L4" s="2" t="s">
        <v>214</v>
      </c>
      <c r="M4" s="2"/>
      <c r="N4" s="5">
        <v>46146</v>
      </c>
      <c r="O4" s="2" t="s">
        <v>208</v>
      </c>
    </row>
    <row r="5" spans="1:15" ht="28.8" x14ac:dyDescent="0.3">
      <c r="A5" s="2" t="s">
        <v>215</v>
      </c>
      <c r="B5" s="2" t="s">
        <v>46</v>
      </c>
      <c r="C5" s="2" t="s">
        <v>47</v>
      </c>
      <c r="D5" s="2" t="s">
        <v>203</v>
      </c>
      <c r="E5" s="2" t="s">
        <v>22</v>
      </c>
      <c r="F5" s="2" t="s">
        <v>216</v>
      </c>
      <c r="G5" s="2" t="s">
        <v>60</v>
      </c>
      <c r="H5" s="2" t="s">
        <v>60</v>
      </c>
      <c r="I5" s="5">
        <v>46133</v>
      </c>
      <c r="J5" s="2" t="s">
        <v>205</v>
      </c>
      <c r="K5" s="2" t="s">
        <v>206</v>
      </c>
      <c r="L5" s="2" t="s">
        <v>217</v>
      </c>
      <c r="M5" s="2"/>
      <c r="N5" s="5">
        <v>46146</v>
      </c>
      <c r="O5" s="2" t="s">
        <v>208</v>
      </c>
    </row>
    <row r="6" spans="1:15" ht="28.8" x14ac:dyDescent="0.3">
      <c r="A6" s="2" t="s">
        <v>218</v>
      </c>
      <c r="B6" s="2" t="s">
        <v>46</v>
      </c>
      <c r="C6" s="2" t="s">
        <v>47</v>
      </c>
      <c r="D6" s="2" t="s">
        <v>203</v>
      </c>
      <c r="E6" s="2" t="s">
        <v>23</v>
      </c>
      <c r="F6" s="2" t="s">
        <v>219</v>
      </c>
      <c r="G6" s="2" t="s">
        <v>60</v>
      </c>
      <c r="H6" s="2" t="s">
        <v>60</v>
      </c>
      <c r="I6" s="5">
        <v>46133</v>
      </c>
      <c r="J6" s="2" t="s">
        <v>205</v>
      </c>
      <c r="K6" s="2" t="s">
        <v>206</v>
      </c>
      <c r="L6" s="2" t="s">
        <v>220</v>
      </c>
      <c r="M6" s="2"/>
      <c r="N6" s="5">
        <v>46146</v>
      </c>
      <c r="O6" s="2" t="s">
        <v>208</v>
      </c>
    </row>
    <row r="7" spans="1:15" ht="28.8" x14ac:dyDescent="0.3">
      <c r="A7" s="2" t="s">
        <v>221</v>
      </c>
      <c r="B7" s="2" t="s">
        <v>46</v>
      </c>
      <c r="C7" s="2" t="s">
        <v>47</v>
      </c>
      <c r="D7" s="2" t="s">
        <v>222</v>
      </c>
      <c r="E7" s="2" t="s">
        <v>24</v>
      </c>
      <c r="F7" s="2" t="s">
        <v>223</v>
      </c>
      <c r="G7" s="2" t="s">
        <v>60</v>
      </c>
      <c r="H7" s="2" t="s">
        <v>60</v>
      </c>
      <c r="I7" s="5">
        <v>46133</v>
      </c>
      <c r="J7" s="2" t="s">
        <v>205</v>
      </c>
      <c r="K7" s="2" t="s">
        <v>224</v>
      </c>
      <c r="L7" s="2" t="s">
        <v>225</v>
      </c>
      <c r="M7" s="2"/>
      <c r="N7" s="5">
        <v>46146</v>
      </c>
      <c r="O7" s="2" t="s">
        <v>208</v>
      </c>
    </row>
    <row r="8" spans="1:15" ht="28.8" x14ac:dyDescent="0.3">
      <c r="A8" s="2" t="s">
        <v>226</v>
      </c>
      <c r="B8" s="2" t="s">
        <v>46</v>
      </c>
      <c r="C8" s="2" t="s">
        <v>47</v>
      </c>
      <c r="D8" s="2" t="s">
        <v>222</v>
      </c>
      <c r="E8" s="2" t="s">
        <v>25</v>
      </c>
      <c r="F8" s="2" t="s">
        <v>227</v>
      </c>
      <c r="G8" s="2" t="s">
        <v>60</v>
      </c>
      <c r="H8" s="2" t="s">
        <v>60</v>
      </c>
      <c r="I8" s="5">
        <v>46133</v>
      </c>
      <c r="J8" s="2" t="s">
        <v>205</v>
      </c>
      <c r="K8" s="2" t="s">
        <v>224</v>
      </c>
      <c r="L8" s="2" t="s">
        <v>228</v>
      </c>
      <c r="M8" s="2"/>
      <c r="N8" s="5">
        <v>46146</v>
      </c>
      <c r="O8" s="2" t="s">
        <v>208</v>
      </c>
    </row>
    <row r="9" spans="1:15" ht="28.8" x14ac:dyDescent="0.3">
      <c r="A9" s="2" t="s">
        <v>229</v>
      </c>
      <c r="B9" s="2" t="s">
        <v>46</v>
      </c>
      <c r="C9" s="2" t="s">
        <v>47</v>
      </c>
      <c r="D9" s="2" t="s">
        <v>222</v>
      </c>
      <c r="E9" s="2" t="s">
        <v>26</v>
      </c>
      <c r="F9" s="2" t="s">
        <v>230</v>
      </c>
      <c r="G9" s="2" t="s">
        <v>60</v>
      </c>
      <c r="H9" s="2" t="s">
        <v>60</v>
      </c>
      <c r="I9" s="5">
        <v>46133</v>
      </c>
      <c r="J9" s="2" t="s">
        <v>205</v>
      </c>
      <c r="K9" s="2" t="s">
        <v>224</v>
      </c>
      <c r="L9" s="2" t="s">
        <v>231</v>
      </c>
      <c r="M9" s="2"/>
      <c r="N9" s="5">
        <v>46146</v>
      </c>
      <c r="O9" s="2" t="s">
        <v>208</v>
      </c>
    </row>
    <row r="10" spans="1:15" ht="28.8" x14ac:dyDescent="0.3">
      <c r="A10" s="2" t="s">
        <v>232</v>
      </c>
      <c r="B10" s="2" t="s">
        <v>46</v>
      </c>
      <c r="C10" s="2" t="s">
        <v>47</v>
      </c>
      <c r="D10" s="2" t="s">
        <v>222</v>
      </c>
      <c r="E10" s="2" t="s">
        <v>27</v>
      </c>
      <c r="F10" s="2" t="s">
        <v>233</v>
      </c>
      <c r="G10" s="2" t="s">
        <v>60</v>
      </c>
      <c r="H10" s="2" t="s">
        <v>60</v>
      </c>
      <c r="I10" s="5">
        <v>46133</v>
      </c>
      <c r="J10" s="2" t="s">
        <v>205</v>
      </c>
      <c r="K10" s="2" t="s">
        <v>224</v>
      </c>
      <c r="L10" s="2" t="s">
        <v>234</v>
      </c>
      <c r="M10" s="2"/>
      <c r="N10" s="5">
        <v>46146</v>
      </c>
      <c r="O10" s="2" t="s">
        <v>208</v>
      </c>
    </row>
    <row r="11" spans="1:15" ht="28.8" x14ac:dyDescent="0.3">
      <c r="A11" s="2" t="s">
        <v>235</v>
      </c>
      <c r="B11" s="2" t="s">
        <v>46</v>
      </c>
      <c r="C11" s="2" t="s">
        <v>47</v>
      </c>
      <c r="D11" s="2" t="s">
        <v>222</v>
      </c>
      <c r="E11" s="2" t="s">
        <v>28</v>
      </c>
      <c r="F11" s="2" t="s">
        <v>236</v>
      </c>
      <c r="G11" s="2" t="s">
        <v>60</v>
      </c>
      <c r="H11" s="2" t="s">
        <v>60</v>
      </c>
      <c r="I11" s="5">
        <v>46133</v>
      </c>
      <c r="J11" s="2" t="s">
        <v>205</v>
      </c>
      <c r="K11" s="2" t="s">
        <v>224</v>
      </c>
      <c r="L11" s="2" t="s">
        <v>237</v>
      </c>
      <c r="M11" s="2"/>
      <c r="N11" s="5">
        <v>46146</v>
      </c>
      <c r="O11" s="2" t="s">
        <v>208</v>
      </c>
    </row>
    <row r="12" spans="1:15" ht="28.8" x14ac:dyDescent="0.3">
      <c r="A12" s="2" t="s">
        <v>238</v>
      </c>
      <c r="B12" s="2" t="s">
        <v>46</v>
      </c>
      <c r="C12" s="2" t="s">
        <v>47</v>
      </c>
      <c r="D12" s="2" t="s">
        <v>222</v>
      </c>
      <c r="E12" s="2" t="s">
        <v>29</v>
      </c>
      <c r="F12" s="2" t="s">
        <v>239</v>
      </c>
      <c r="G12" s="2" t="s">
        <v>60</v>
      </c>
      <c r="H12" s="2" t="s">
        <v>60</v>
      </c>
      <c r="I12" s="5">
        <v>46133</v>
      </c>
      <c r="J12" s="2" t="s">
        <v>205</v>
      </c>
      <c r="K12" s="2" t="s">
        <v>224</v>
      </c>
      <c r="L12" s="2" t="s">
        <v>240</v>
      </c>
      <c r="M12" s="2"/>
      <c r="N12" s="5">
        <v>46146</v>
      </c>
      <c r="O12" s="2" t="s">
        <v>208</v>
      </c>
    </row>
    <row r="13" spans="1:15" ht="28.8" x14ac:dyDescent="0.3">
      <c r="A13" s="2" t="s">
        <v>241</v>
      </c>
      <c r="B13" s="2" t="s">
        <v>46</v>
      </c>
      <c r="C13" s="2" t="s">
        <v>47</v>
      </c>
      <c r="D13" s="2" t="s">
        <v>222</v>
      </c>
      <c r="E13" s="2" t="s">
        <v>30</v>
      </c>
      <c r="F13" s="2" t="s">
        <v>242</v>
      </c>
      <c r="G13" s="2" t="s">
        <v>60</v>
      </c>
      <c r="H13" s="2" t="s">
        <v>60</v>
      </c>
      <c r="I13" s="5">
        <v>46133</v>
      </c>
      <c r="J13" s="2" t="s">
        <v>205</v>
      </c>
      <c r="K13" s="2" t="s">
        <v>224</v>
      </c>
      <c r="L13" s="2" t="s">
        <v>243</v>
      </c>
      <c r="M13" s="2"/>
      <c r="N13" s="5">
        <v>46146</v>
      </c>
      <c r="O13" s="2" t="s">
        <v>208</v>
      </c>
    </row>
    <row r="14" spans="1:15" ht="28.8" x14ac:dyDescent="0.3">
      <c r="A14" s="2" t="s">
        <v>244</v>
      </c>
      <c r="B14" s="2" t="s">
        <v>46</v>
      </c>
      <c r="C14" s="2" t="s">
        <v>47</v>
      </c>
      <c r="D14" s="2" t="s">
        <v>222</v>
      </c>
      <c r="E14" s="2" t="s">
        <v>31</v>
      </c>
      <c r="F14" s="2" t="s">
        <v>245</v>
      </c>
      <c r="G14" s="2" t="s">
        <v>60</v>
      </c>
      <c r="H14" s="2" t="s">
        <v>60</v>
      </c>
      <c r="I14" s="5">
        <v>46133</v>
      </c>
      <c r="J14" s="2" t="s">
        <v>205</v>
      </c>
      <c r="K14" s="2" t="s">
        <v>224</v>
      </c>
      <c r="L14" s="2" t="s">
        <v>246</v>
      </c>
      <c r="M14" s="2"/>
      <c r="N14" s="5">
        <v>46146</v>
      </c>
      <c r="O14" s="2" t="s">
        <v>208</v>
      </c>
    </row>
    <row r="15" spans="1:15" ht="28.8" x14ac:dyDescent="0.3">
      <c r="A15" s="2" t="s">
        <v>247</v>
      </c>
      <c r="B15" s="2" t="s">
        <v>46</v>
      </c>
      <c r="C15" s="2" t="s">
        <v>47</v>
      </c>
      <c r="D15" s="2" t="s">
        <v>222</v>
      </c>
      <c r="E15" s="2" t="s">
        <v>32</v>
      </c>
      <c r="F15" s="2" t="s">
        <v>248</v>
      </c>
      <c r="G15" s="2" t="s">
        <v>60</v>
      </c>
      <c r="H15" s="2" t="s">
        <v>60</v>
      </c>
      <c r="I15" s="5">
        <v>46133</v>
      </c>
      <c r="J15" s="2" t="s">
        <v>205</v>
      </c>
      <c r="K15" s="2" t="s">
        <v>224</v>
      </c>
      <c r="L15" s="2" t="s">
        <v>249</v>
      </c>
      <c r="M15" s="2"/>
      <c r="N15" s="5">
        <v>46146</v>
      </c>
      <c r="O15" s="2" t="s">
        <v>208</v>
      </c>
    </row>
    <row r="16" spans="1:15" ht="28.8" x14ac:dyDescent="0.3">
      <c r="A16" s="2" t="s">
        <v>250</v>
      </c>
      <c r="B16" s="2" t="s">
        <v>46</v>
      </c>
      <c r="C16" s="2" t="s">
        <v>47</v>
      </c>
      <c r="D16" s="2" t="s">
        <v>222</v>
      </c>
      <c r="E16" s="2" t="s">
        <v>33</v>
      </c>
      <c r="F16" s="2" t="s">
        <v>251</v>
      </c>
      <c r="G16" s="2" t="s">
        <v>60</v>
      </c>
      <c r="H16" s="2" t="s">
        <v>60</v>
      </c>
      <c r="I16" s="5">
        <v>46133</v>
      </c>
      <c r="J16" s="2" t="s">
        <v>205</v>
      </c>
      <c r="K16" s="2" t="s">
        <v>224</v>
      </c>
      <c r="L16" s="2" t="s">
        <v>252</v>
      </c>
      <c r="M16" s="2"/>
      <c r="N16" s="5">
        <v>46146</v>
      </c>
      <c r="O16" s="2" t="s">
        <v>208</v>
      </c>
    </row>
    <row r="17" spans="1:15" ht="28.8" x14ac:dyDescent="0.3">
      <c r="A17" s="2" t="s">
        <v>253</v>
      </c>
      <c r="B17" s="2" t="s">
        <v>46</v>
      </c>
      <c r="C17" s="2" t="s">
        <v>47</v>
      </c>
      <c r="D17" s="2" t="s">
        <v>222</v>
      </c>
      <c r="E17" s="2" t="s">
        <v>34</v>
      </c>
      <c r="F17" s="2" t="s">
        <v>254</v>
      </c>
      <c r="G17" s="2" t="s">
        <v>60</v>
      </c>
      <c r="H17" s="2" t="s">
        <v>58</v>
      </c>
      <c r="I17" s="5"/>
      <c r="J17" s="2" t="s">
        <v>255</v>
      </c>
      <c r="K17" s="2" t="s">
        <v>224</v>
      </c>
      <c r="L17" s="2"/>
      <c r="M17" s="2" t="s">
        <v>256</v>
      </c>
      <c r="N17" s="5"/>
      <c r="O17" s="2" t="s">
        <v>208</v>
      </c>
    </row>
    <row r="18" spans="1:15" ht="28.8" x14ac:dyDescent="0.3">
      <c r="A18" s="2" t="s">
        <v>257</v>
      </c>
      <c r="B18" s="2" t="s">
        <v>46</v>
      </c>
      <c r="C18" s="2" t="s">
        <v>47</v>
      </c>
      <c r="D18" s="2" t="s">
        <v>222</v>
      </c>
      <c r="E18" s="2" t="s">
        <v>35</v>
      </c>
      <c r="F18" s="2" t="s">
        <v>258</v>
      </c>
      <c r="G18" s="2" t="s">
        <v>60</v>
      </c>
      <c r="H18" s="2" t="s">
        <v>58</v>
      </c>
      <c r="I18" s="5"/>
      <c r="J18" s="2" t="s">
        <v>255</v>
      </c>
      <c r="K18" s="2" t="s">
        <v>224</v>
      </c>
      <c r="L18" s="2"/>
      <c r="M18" s="2" t="s">
        <v>256</v>
      </c>
      <c r="N18" s="5"/>
      <c r="O18" s="2" t="s">
        <v>208</v>
      </c>
    </row>
    <row r="19" spans="1:15" ht="28.8" x14ac:dyDescent="0.3">
      <c r="A19" s="2" t="s">
        <v>259</v>
      </c>
      <c r="B19" s="2" t="s">
        <v>46</v>
      </c>
      <c r="C19" s="2" t="s">
        <v>47</v>
      </c>
      <c r="D19" s="2" t="s">
        <v>222</v>
      </c>
      <c r="E19" s="2" t="s">
        <v>36</v>
      </c>
      <c r="F19" s="2" t="s">
        <v>260</v>
      </c>
      <c r="G19" s="2" t="s">
        <v>60</v>
      </c>
      <c r="H19" s="2" t="s">
        <v>58</v>
      </c>
      <c r="I19" s="5"/>
      <c r="J19" s="2" t="s">
        <v>255</v>
      </c>
      <c r="K19" s="2" t="s">
        <v>224</v>
      </c>
      <c r="L19" s="2"/>
      <c r="M19" s="2" t="s">
        <v>256</v>
      </c>
      <c r="N19" s="5"/>
      <c r="O19" s="2" t="s">
        <v>208</v>
      </c>
    </row>
    <row r="20" spans="1:15" ht="28.8" x14ac:dyDescent="0.3">
      <c r="A20" s="2" t="s">
        <v>261</v>
      </c>
      <c r="B20" s="2" t="s">
        <v>63</v>
      </c>
      <c r="C20" s="2" t="s">
        <v>64</v>
      </c>
      <c r="D20" s="2" t="s">
        <v>203</v>
      </c>
      <c r="E20" s="2" t="s">
        <v>19</v>
      </c>
      <c r="F20" s="2" t="s">
        <v>204</v>
      </c>
      <c r="G20" s="2" t="s">
        <v>60</v>
      </c>
      <c r="H20" s="2" t="s">
        <v>60</v>
      </c>
      <c r="I20" s="5">
        <v>46134</v>
      </c>
      <c r="J20" s="2" t="s">
        <v>205</v>
      </c>
      <c r="K20" s="2" t="s">
        <v>206</v>
      </c>
      <c r="L20" s="2" t="s">
        <v>262</v>
      </c>
      <c r="M20" s="2"/>
      <c r="N20" s="5">
        <v>46146</v>
      </c>
      <c r="O20" s="2" t="s">
        <v>208</v>
      </c>
    </row>
    <row r="21" spans="1:15" ht="28.8" x14ac:dyDescent="0.3">
      <c r="A21" s="2" t="s">
        <v>263</v>
      </c>
      <c r="B21" s="2" t="s">
        <v>63</v>
      </c>
      <c r="C21" s="2" t="s">
        <v>64</v>
      </c>
      <c r="D21" s="2" t="s">
        <v>203</v>
      </c>
      <c r="E21" s="2" t="s">
        <v>20</v>
      </c>
      <c r="F21" s="2" t="s">
        <v>210</v>
      </c>
      <c r="G21" s="2" t="s">
        <v>60</v>
      </c>
      <c r="H21" s="2" t="s">
        <v>60</v>
      </c>
      <c r="I21" s="5">
        <v>46134</v>
      </c>
      <c r="J21" s="2" t="s">
        <v>205</v>
      </c>
      <c r="K21" s="2" t="s">
        <v>206</v>
      </c>
      <c r="L21" s="2" t="s">
        <v>264</v>
      </c>
      <c r="M21" s="2"/>
      <c r="N21" s="5">
        <v>46146</v>
      </c>
      <c r="O21" s="2" t="s">
        <v>208</v>
      </c>
    </row>
    <row r="22" spans="1:15" ht="28.8" x14ac:dyDescent="0.3">
      <c r="A22" s="2" t="s">
        <v>265</v>
      </c>
      <c r="B22" s="2" t="s">
        <v>63</v>
      </c>
      <c r="C22" s="2" t="s">
        <v>64</v>
      </c>
      <c r="D22" s="2" t="s">
        <v>203</v>
      </c>
      <c r="E22" s="2" t="s">
        <v>21</v>
      </c>
      <c r="F22" s="2" t="s">
        <v>213</v>
      </c>
      <c r="G22" s="2" t="s">
        <v>60</v>
      </c>
      <c r="H22" s="2" t="s">
        <v>60</v>
      </c>
      <c r="I22" s="5">
        <v>46134</v>
      </c>
      <c r="J22" s="2" t="s">
        <v>266</v>
      </c>
      <c r="K22" s="2" t="s">
        <v>206</v>
      </c>
      <c r="L22" s="2" t="s">
        <v>267</v>
      </c>
      <c r="M22" s="2"/>
      <c r="N22" s="5"/>
      <c r="O22" s="2" t="s">
        <v>208</v>
      </c>
    </row>
    <row r="23" spans="1:15" ht="28.8" x14ac:dyDescent="0.3">
      <c r="A23" s="2" t="s">
        <v>268</v>
      </c>
      <c r="B23" s="2" t="s">
        <v>63</v>
      </c>
      <c r="C23" s="2" t="s">
        <v>64</v>
      </c>
      <c r="D23" s="2" t="s">
        <v>203</v>
      </c>
      <c r="E23" s="2" t="s">
        <v>22</v>
      </c>
      <c r="F23" s="2" t="s">
        <v>216</v>
      </c>
      <c r="G23" s="2" t="s">
        <v>60</v>
      </c>
      <c r="H23" s="2" t="s">
        <v>60</v>
      </c>
      <c r="I23" s="5">
        <v>46134</v>
      </c>
      <c r="J23" s="2" t="s">
        <v>205</v>
      </c>
      <c r="K23" s="2" t="s">
        <v>206</v>
      </c>
      <c r="L23" s="2" t="s">
        <v>269</v>
      </c>
      <c r="M23" s="2"/>
      <c r="N23" s="5">
        <v>46146</v>
      </c>
      <c r="O23" s="2" t="s">
        <v>208</v>
      </c>
    </row>
    <row r="24" spans="1:15" ht="28.8" x14ac:dyDescent="0.3">
      <c r="A24" s="2" t="s">
        <v>270</v>
      </c>
      <c r="B24" s="2" t="s">
        <v>63</v>
      </c>
      <c r="C24" s="2" t="s">
        <v>64</v>
      </c>
      <c r="D24" s="2" t="s">
        <v>203</v>
      </c>
      <c r="E24" s="2" t="s">
        <v>23</v>
      </c>
      <c r="F24" s="2" t="s">
        <v>219</v>
      </c>
      <c r="G24" s="2" t="s">
        <v>60</v>
      </c>
      <c r="H24" s="2" t="s">
        <v>60</v>
      </c>
      <c r="I24" s="5">
        <v>46134</v>
      </c>
      <c r="J24" s="2" t="s">
        <v>205</v>
      </c>
      <c r="K24" s="2" t="s">
        <v>206</v>
      </c>
      <c r="L24" s="2" t="s">
        <v>271</v>
      </c>
      <c r="M24" s="2"/>
      <c r="N24" s="5">
        <v>46146</v>
      </c>
      <c r="O24" s="2" t="s">
        <v>208</v>
      </c>
    </row>
    <row r="25" spans="1:15" ht="28.8" x14ac:dyDescent="0.3">
      <c r="A25" s="2" t="s">
        <v>272</v>
      </c>
      <c r="B25" s="2" t="s">
        <v>63</v>
      </c>
      <c r="C25" s="2" t="s">
        <v>64</v>
      </c>
      <c r="D25" s="2" t="s">
        <v>222</v>
      </c>
      <c r="E25" s="2" t="s">
        <v>24</v>
      </c>
      <c r="F25" s="2" t="s">
        <v>223</v>
      </c>
      <c r="G25" s="2" t="s">
        <v>60</v>
      </c>
      <c r="H25" s="2" t="s">
        <v>60</v>
      </c>
      <c r="I25" s="5">
        <v>46134</v>
      </c>
      <c r="J25" s="2" t="s">
        <v>266</v>
      </c>
      <c r="K25" s="2" t="s">
        <v>224</v>
      </c>
      <c r="L25" s="2" t="s">
        <v>273</v>
      </c>
      <c r="M25" s="2"/>
      <c r="N25" s="5"/>
      <c r="O25" s="2" t="s">
        <v>208</v>
      </c>
    </row>
    <row r="26" spans="1:15" ht="28.8" x14ac:dyDescent="0.3">
      <c r="A26" s="2" t="s">
        <v>274</v>
      </c>
      <c r="B26" s="2" t="s">
        <v>63</v>
      </c>
      <c r="C26" s="2" t="s">
        <v>64</v>
      </c>
      <c r="D26" s="2" t="s">
        <v>222</v>
      </c>
      <c r="E26" s="2" t="s">
        <v>25</v>
      </c>
      <c r="F26" s="2" t="s">
        <v>227</v>
      </c>
      <c r="G26" s="2" t="s">
        <v>60</v>
      </c>
      <c r="H26" s="2" t="s">
        <v>60</v>
      </c>
      <c r="I26" s="5">
        <v>46134</v>
      </c>
      <c r="J26" s="2" t="s">
        <v>205</v>
      </c>
      <c r="K26" s="2" t="s">
        <v>224</v>
      </c>
      <c r="L26" s="2" t="s">
        <v>275</v>
      </c>
      <c r="M26" s="2"/>
      <c r="N26" s="5">
        <v>46146</v>
      </c>
      <c r="O26" s="2" t="s">
        <v>208</v>
      </c>
    </row>
    <row r="27" spans="1:15" ht="28.8" x14ac:dyDescent="0.3">
      <c r="A27" s="2" t="s">
        <v>276</v>
      </c>
      <c r="B27" s="2" t="s">
        <v>63</v>
      </c>
      <c r="C27" s="2" t="s">
        <v>64</v>
      </c>
      <c r="D27" s="2" t="s">
        <v>222</v>
      </c>
      <c r="E27" s="2" t="s">
        <v>26</v>
      </c>
      <c r="F27" s="2" t="s">
        <v>230</v>
      </c>
      <c r="G27" s="2" t="s">
        <v>60</v>
      </c>
      <c r="H27" s="2" t="s">
        <v>60</v>
      </c>
      <c r="I27" s="5">
        <v>46134</v>
      </c>
      <c r="J27" s="2" t="s">
        <v>205</v>
      </c>
      <c r="K27" s="2" t="s">
        <v>224</v>
      </c>
      <c r="L27" s="2" t="s">
        <v>277</v>
      </c>
      <c r="M27" s="2"/>
      <c r="N27" s="5">
        <v>46146</v>
      </c>
      <c r="O27" s="2" t="s">
        <v>208</v>
      </c>
    </row>
    <row r="28" spans="1:15" ht="28.8" x14ac:dyDescent="0.3">
      <c r="A28" s="2" t="s">
        <v>278</v>
      </c>
      <c r="B28" s="2" t="s">
        <v>63</v>
      </c>
      <c r="C28" s="2" t="s">
        <v>64</v>
      </c>
      <c r="D28" s="2" t="s">
        <v>222</v>
      </c>
      <c r="E28" s="2" t="s">
        <v>27</v>
      </c>
      <c r="F28" s="2" t="s">
        <v>233</v>
      </c>
      <c r="G28" s="2" t="s">
        <v>60</v>
      </c>
      <c r="H28" s="2" t="s">
        <v>60</v>
      </c>
      <c r="I28" s="5">
        <v>46134</v>
      </c>
      <c r="J28" s="2" t="s">
        <v>266</v>
      </c>
      <c r="K28" s="2" t="s">
        <v>224</v>
      </c>
      <c r="L28" s="2" t="s">
        <v>279</v>
      </c>
      <c r="M28" s="2"/>
      <c r="N28" s="5"/>
      <c r="O28" s="2" t="s">
        <v>208</v>
      </c>
    </row>
    <row r="29" spans="1:15" ht="28.8" x14ac:dyDescent="0.3">
      <c r="A29" s="2" t="s">
        <v>280</v>
      </c>
      <c r="B29" s="2" t="s">
        <v>63</v>
      </c>
      <c r="C29" s="2" t="s">
        <v>64</v>
      </c>
      <c r="D29" s="2" t="s">
        <v>222</v>
      </c>
      <c r="E29" s="2" t="s">
        <v>28</v>
      </c>
      <c r="F29" s="2" t="s">
        <v>236</v>
      </c>
      <c r="G29" s="2" t="s">
        <v>60</v>
      </c>
      <c r="H29" s="2" t="s">
        <v>60</v>
      </c>
      <c r="I29" s="5">
        <v>46134</v>
      </c>
      <c r="J29" s="2" t="s">
        <v>205</v>
      </c>
      <c r="K29" s="2" t="s">
        <v>224</v>
      </c>
      <c r="L29" s="2" t="s">
        <v>281</v>
      </c>
      <c r="M29" s="2"/>
      <c r="N29" s="5">
        <v>46146</v>
      </c>
      <c r="O29" s="2" t="s">
        <v>208</v>
      </c>
    </row>
    <row r="30" spans="1:15" ht="28.8" x14ac:dyDescent="0.3">
      <c r="A30" s="2" t="s">
        <v>282</v>
      </c>
      <c r="B30" s="2" t="s">
        <v>63</v>
      </c>
      <c r="C30" s="2" t="s">
        <v>64</v>
      </c>
      <c r="D30" s="2" t="s">
        <v>222</v>
      </c>
      <c r="E30" s="2" t="s">
        <v>29</v>
      </c>
      <c r="F30" s="2" t="s">
        <v>239</v>
      </c>
      <c r="G30" s="2" t="s">
        <v>60</v>
      </c>
      <c r="H30" s="2" t="s">
        <v>60</v>
      </c>
      <c r="I30" s="5">
        <v>46134</v>
      </c>
      <c r="J30" s="2" t="s">
        <v>205</v>
      </c>
      <c r="K30" s="2" t="s">
        <v>224</v>
      </c>
      <c r="L30" s="2" t="s">
        <v>283</v>
      </c>
      <c r="M30" s="2"/>
      <c r="N30" s="5">
        <v>46146</v>
      </c>
      <c r="O30" s="2" t="s">
        <v>208</v>
      </c>
    </row>
    <row r="31" spans="1:15" ht="28.8" x14ac:dyDescent="0.3">
      <c r="A31" s="2" t="s">
        <v>284</v>
      </c>
      <c r="B31" s="2" t="s">
        <v>63</v>
      </c>
      <c r="C31" s="2" t="s">
        <v>64</v>
      </c>
      <c r="D31" s="2" t="s">
        <v>222</v>
      </c>
      <c r="E31" s="2" t="s">
        <v>30</v>
      </c>
      <c r="F31" s="2" t="s">
        <v>242</v>
      </c>
      <c r="G31" s="2" t="s">
        <v>60</v>
      </c>
      <c r="H31" s="2" t="s">
        <v>60</v>
      </c>
      <c r="I31" s="5">
        <v>46134</v>
      </c>
      <c r="J31" s="2" t="s">
        <v>266</v>
      </c>
      <c r="K31" s="2" t="s">
        <v>224</v>
      </c>
      <c r="L31" s="2" t="s">
        <v>285</v>
      </c>
      <c r="M31" s="2"/>
      <c r="N31" s="5"/>
      <c r="O31" s="2" t="s">
        <v>208</v>
      </c>
    </row>
    <row r="32" spans="1:15" ht="28.8" x14ac:dyDescent="0.3">
      <c r="A32" s="2" t="s">
        <v>286</v>
      </c>
      <c r="B32" s="2" t="s">
        <v>63</v>
      </c>
      <c r="C32" s="2" t="s">
        <v>64</v>
      </c>
      <c r="D32" s="2" t="s">
        <v>222</v>
      </c>
      <c r="E32" s="2" t="s">
        <v>31</v>
      </c>
      <c r="F32" s="2" t="s">
        <v>245</v>
      </c>
      <c r="G32" s="2" t="s">
        <v>60</v>
      </c>
      <c r="H32" s="2" t="s">
        <v>60</v>
      </c>
      <c r="I32" s="5">
        <v>46134</v>
      </c>
      <c r="J32" s="2" t="s">
        <v>205</v>
      </c>
      <c r="K32" s="2" t="s">
        <v>224</v>
      </c>
      <c r="L32" s="2" t="s">
        <v>287</v>
      </c>
      <c r="M32" s="2"/>
      <c r="N32" s="5">
        <v>46146</v>
      </c>
      <c r="O32" s="2" t="s">
        <v>208</v>
      </c>
    </row>
    <row r="33" spans="1:15" ht="28.8" x14ac:dyDescent="0.3">
      <c r="A33" s="2" t="s">
        <v>288</v>
      </c>
      <c r="B33" s="2" t="s">
        <v>63</v>
      </c>
      <c r="C33" s="2" t="s">
        <v>64</v>
      </c>
      <c r="D33" s="2" t="s">
        <v>222</v>
      </c>
      <c r="E33" s="2" t="s">
        <v>32</v>
      </c>
      <c r="F33" s="2" t="s">
        <v>248</v>
      </c>
      <c r="G33" s="2" t="s">
        <v>60</v>
      </c>
      <c r="H33" s="2" t="s">
        <v>58</v>
      </c>
      <c r="I33" s="5"/>
      <c r="J33" s="2" t="s">
        <v>255</v>
      </c>
      <c r="K33" s="2" t="s">
        <v>224</v>
      </c>
      <c r="L33" s="2"/>
      <c r="M33" s="2" t="s">
        <v>256</v>
      </c>
      <c r="N33" s="5"/>
      <c r="O33" s="2" t="s">
        <v>208</v>
      </c>
    </row>
    <row r="34" spans="1:15" ht="28.8" x14ac:dyDescent="0.3">
      <c r="A34" s="2" t="s">
        <v>289</v>
      </c>
      <c r="B34" s="2" t="s">
        <v>63</v>
      </c>
      <c r="C34" s="2" t="s">
        <v>64</v>
      </c>
      <c r="D34" s="2" t="s">
        <v>222</v>
      </c>
      <c r="E34" s="2" t="s">
        <v>33</v>
      </c>
      <c r="F34" s="2" t="s">
        <v>251</v>
      </c>
      <c r="G34" s="2" t="s">
        <v>60</v>
      </c>
      <c r="H34" s="2" t="s">
        <v>58</v>
      </c>
      <c r="I34" s="5"/>
      <c r="J34" s="2" t="s">
        <v>255</v>
      </c>
      <c r="K34" s="2" t="s">
        <v>224</v>
      </c>
      <c r="L34" s="2"/>
      <c r="M34" s="2" t="s">
        <v>256</v>
      </c>
      <c r="N34" s="5"/>
      <c r="O34" s="2" t="s">
        <v>208</v>
      </c>
    </row>
    <row r="35" spans="1:15" ht="28.8" x14ac:dyDescent="0.3">
      <c r="A35" s="2" t="s">
        <v>290</v>
      </c>
      <c r="B35" s="2" t="s">
        <v>63</v>
      </c>
      <c r="C35" s="2" t="s">
        <v>64</v>
      </c>
      <c r="D35" s="2" t="s">
        <v>222</v>
      </c>
      <c r="E35" s="2" t="s">
        <v>34</v>
      </c>
      <c r="F35" s="2" t="s">
        <v>254</v>
      </c>
      <c r="G35" s="2" t="s">
        <v>60</v>
      </c>
      <c r="H35" s="2" t="s">
        <v>58</v>
      </c>
      <c r="I35" s="5"/>
      <c r="J35" s="2" t="s">
        <v>255</v>
      </c>
      <c r="K35" s="2" t="s">
        <v>224</v>
      </c>
      <c r="L35" s="2"/>
      <c r="M35" s="2" t="s">
        <v>256</v>
      </c>
      <c r="N35" s="5"/>
      <c r="O35" s="2" t="s">
        <v>208</v>
      </c>
    </row>
    <row r="36" spans="1:15" ht="28.8" x14ac:dyDescent="0.3">
      <c r="A36" s="2" t="s">
        <v>291</v>
      </c>
      <c r="B36" s="2" t="s">
        <v>63</v>
      </c>
      <c r="C36" s="2" t="s">
        <v>64</v>
      </c>
      <c r="D36" s="2" t="s">
        <v>222</v>
      </c>
      <c r="E36" s="2" t="s">
        <v>35</v>
      </c>
      <c r="F36" s="2" t="s">
        <v>258</v>
      </c>
      <c r="G36" s="2" t="s">
        <v>60</v>
      </c>
      <c r="H36" s="2" t="s">
        <v>58</v>
      </c>
      <c r="I36" s="5"/>
      <c r="J36" s="2" t="s">
        <v>255</v>
      </c>
      <c r="K36" s="2" t="s">
        <v>224</v>
      </c>
      <c r="L36" s="2"/>
      <c r="M36" s="2" t="s">
        <v>256</v>
      </c>
      <c r="N36" s="5"/>
      <c r="O36" s="2" t="s">
        <v>208</v>
      </c>
    </row>
    <row r="37" spans="1:15" ht="28.8" x14ac:dyDescent="0.3">
      <c r="A37" s="2" t="s">
        <v>292</v>
      </c>
      <c r="B37" s="2" t="s">
        <v>63</v>
      </c>
      <c r="C37" s="2" t="s">
        <v>64</v>
      </c>
      <c r="D37" s="2" t="s">
        <v>222</v>
      </c>
      <c r="E37" s="2" t="s">
        <v>36</v>
      </c>
      <c r="F37" s="2" t="s">
        <v>260</v>
      </c>
      <c r="G37" s="2" t="s">
        <v>60</v>
      </c>
      <c r="H37" s="2" t="s">
        <v>58</v>
      </c>
      <c r="I37" s="5"/>
      <c r="J37" s="2" t="s">
        <v>255</v>
      </c>
      <c r="K37" s="2" t="s">
        <v>224</v>
      </c>
      <c r="L37" s="2"/>
      <c r="M37" s="2" t="s">
        <v>256</v>
      </c>
      <c r="N37" s="5"/>
      <c r="O37" s="2" t="s">
        <v>208</v>
      </c>
    </row>
    <row r="38" spans="1:15" ht="28.8" x14ac:dyDescent="0.3">
      <c r="A38" s="2" t="s">
        <v>293</v>
      </c>
      <c r="B38" s="2" t="s">
        <v>73</v>
      </c>
      <c r="C38" s="2" t="s">
        <v>74</v>
      </c>
      <c r="D38" s="2" t="s">
        <v>203</v>
      </c>
      <c r="E38" s="2" t="s">
        <v>19</v>
      </c>
      <c r="F38" s="2" t="s">
        <v>204</v>
      </c>
      <c r="G38" s="2" t="s">
        <v>60</v>
      </c>
      <c r="H38" s="2" t="s">
        <v>60</v>
      </c>
      <c r="I38" s="5">
        <v>46135</v>
      </c>
      <c r="J38" s="2" t="s">
        <v>205</v>
      </c>
      <c r="K38" s="2" t="s">
        <v>206</v>
      </c>
      <c r="L38" s="2" t="s">
        <v>294</v>
      </c>
      <c r="M38" s="2"/>
      <c r="N38" s="5">
        <v>46146</v>
      </c>
      <c r="O38" s="2" t="s">
        <v>208</v>
      </c>
    </row>
    <row r="39" spans="1:15" ht="28.8" x14ac:dyDescent="0.3">
      <c r="A39" s="2" t="s">
        <v>295</v>
      </c>
      <c r="B39" s="2" t="s">
        <v>73</v>
      </c>
      <c r="C39" s="2" t="s">
        <v>74</v>
      </c>
      <c r="D39" s="2" t="s">
        <v>203</v>
      </c>
      <c r="E39" s="2" t="s">
        <v>20</v>
      </c>
      <c r="F39" s="2" t="s">
        <v>210</v>
      </c>
      <c r="G39" s="2" t="s">
        <v>60</v>
      </c>
      <c r="H39" s="2" t="s">
        <v>60</v>
      </c>
      <c r="I39" s="5">
        <v>46135</v>
      </c>
      <c r="J39" s="2" t="s">
        <v>205</v>
      </c>
      <c r="K39" s="2" t="s">
        <v>206</v>
      </c>
      <c r="L39" s="2" t="s">
        <v>296</v>
      </c>
      <c r="M39" s="2"/>
      <c r="N39" s="5">
        <v>46146</v>
      </c>
      <c r="O39" s="2" t="s">
        <v>208</v>
      </c>
    </row>
    <row r="40" spans="1:15" ht="28.8" x14ac:dyDescent="0.3">
      <c r="A40" s="2" t="s">
        <v>297</v>
      </c>
      <c r="B40" s="2" t="s">
        <v>73</v>
      </c>
      <c r="C40" s="2" t="s">
        <v>74</v>
      </c>
      <c r="D40" s="2" t="s">
        <v>203</v>
      </c>
      <c r="E40" s="2" t="s">
        <v>21</v>
      </c>
      <c r="F40" s="2" t="s">
        <v>213</v>
      </c>
      <c r="G40" s="2" t="s">
        <v>60</v>
      </c>
      <c r="H40" s="2" t="s">
        <v>60</v>
      </c>
      <c r="I40" s="5">
        <v>46135</v>
      </c>
      <c r="J40" s="2" t="s">
        <v>205</v>
      </c>
      <c r="K40" s="2" t="s">
        <v>206</v>
      </c>
      <c r="L40" s="2" t="s">
        <v>298</v>
      </c>
      <c r="M40" s="2"/>
      <c r="N40" s="5">
        <v>46146</v>
      </c>
      <c r="O40" s="2" t="s">
        <v>208</v>
      </c>
    </row>
    <row r="41" spans="1:15" ht="28.8" x14ac:dyDescent="0.3">
      <c r="A41" s="2" t="s">
        <v>299</v>
      </c>
      <c r="B41" s="2" t="s">
        <v>73</v>
      </c>
      <c r="C41" s="2" t="s">
        <v>74</v>
      </c>
      <c r="D41" s="2" t="s">
        <v>203</v>
      </c>
      <c r="E41" s="2" t="s">
        <v>22</v>
      </c>
      <c r="F41" s="2" t="s">
        <v>216</v>
      </c>
      <c r="G41" s="2" t="s">
        <v>60</v>
      </c>
      <c r="H41" s="2" t="s">
        <v>60</v>
      </c>
      <c r="I41" s="5">
        <v>46135</v>
      </c>
      <c r="J41" s="2" t="s">
        <v>300</v>
      </c>
      <c r="K41" s="2" t="s">
        <v>206</v>
      </c>
      <c r="L41" s="2" t="s">
        <v>301</v>
      </c>
      <c r="M41" s="2" t="s">
        <v>302</v>
      </c>
      <c r="N41" s="5"/>
      <c r="O41" s="2" t="s">
        <v>208</v>
      </c>
    </row>
    <row r="42" spans="1:15" ht="28.8" x14ac:dyDescent="0.3">
      <c r="A42" s="2" t="s">
        <v>303</v>
      </c>
      <c r="B42" s="2" t="s">
        <v>73</v>
      </c>
      <c r="C42" s="2" t="s">
        <v>74</v>
      </c>
      <c r="D42" s="2" t="s">
        <v>203</v>
      </c>
      <c r="E42" s="2" t="s">
        <v>23</v>
      </c>
      <c r="F42" s="2" t="s">
        <v>219</v>
      </c>
      <c r="G42" s="2" t="s">
        <v>60</v>
      </c>
      <c r="H42" s="2" t="s">
        <v>58</v>
      </c>
      <c r="I42" s="5"/>
      <c r="J42" s="2" t="s">
        <v>255</v>
      </c>
      <c r="K42" s="2" t="s">
        <v>206</v>
      </c>
      <c r="L42" s="2"/>
      <c r="M42" s="2" t="s">
        <v>256</v>
      </c>
      <c r="N42" s="5"/>
      <c r="O42" s="2" t="s">
        <v>208</v>
      </c>
    </row>
    <row r="43" spans="1:15" ht="28.8" x14ac:dyDescent="0.3">
      <c r="A43" s="2" t="s">
        <v>304</v>
      </c>
      <c r="B43" s="2" t="s">
        <v>73</v>
      </c>
      <c r="C43" s="2" t="s">
        <v>74</v>
      </c>
      <c r="D43" s="2" t="s">
        <v>222</v>
      </c>
      <c r="E43" s="2" t="s">
        <v>24</v>
      </c>
      <c r="F43" s="2" t="s">
        <v>223</v>
      </c>
      <c r="G43" s="2" t="s">
        <v>60</v>
      </c>
      <c r="H43" s="2" t="s">
        <v>60</v>
      </c>
      <c r="I43" s="5">
        <v>46135</v>
      </c>
      <c r="J43" s="2" t="s">
        <v>205</v>
      </c>
      <c r="K43" s="2" t="s">
        <v>224</v>
      </c>
      <c r="L43" s="2" t="s">
        <v>305</v>
      </c>
      <c r="M43" s="2"/>
      <c r="N43" s="5">
        <v>46146</v>
      </c>
      <c r="O43" s="2" t="s">
        <v>208</v>
      </c>
    </row>
    <row r="44" spans="1:15" ht="28.8" x14ac:dyDescent="0.3">
      <c r="A44" s="2" t="s">
        <v>306</v>
      </c>
      <c r="B44" s="2" t="s">
        <v>73</v>
      </c>
      <c r="C44" s="2" t="s">
        <v>74</v>
      </c>
      <c r="D44" s="2" t="s">
        <v>222</v>
      </c>
      <c r="E44" s="2" t="s">
        <v>25</v>
      </c>
      <c r="F44" s="2" t="s">
        <v>227</v>
      </c>
      <c r="G44" s="2" t="s">
        <v>60</v>
      </c>
      <c r="H44" s="2" t="s">
        <v>60</v>
      </c>
      <c r="I44" s="5">
        <v>46135</v>
      </c>
      <c r="J44" s="2" t="s">
        <v>205</v>
      </c>
      <c r="K44" s="2" t="s">
        <v>224</v>
      </c>
      <c r="L44" s="2" t="s">
        <v>307</v>
      </c>
      <c r="M44" s="2"/>
      <c r="N44" s="5">
        <v>46146</v>
      </c>
      <c r="O44" s="2" t="s">
        <v>208</v>
      </c>
    </row>
    <row r="45" spans="1:15" ht="28.8" x14ac:dyDescent="0.3">
      <c r="A45" s="2" t="s">
        <v>308</v>
      </c>
      <c r="B45" s="2" t="s">
        <v>73</v>
      </c>
      <c r="C45" s="2" t="s">
        <v>74</v>
      </c>
      <c r="D45" s="2" t="s">
        <v>222</v>
      </c>
      <c r="E45" s="2" t="s">
        <v>26</v>
      </c>
      <c r="F45" s="2" t="s">
        <v>230</v>
      </c>
      <c r="G45" s="2" t="s">
        <v>60</v>
      </c>
      <c r="H45" s="2" t="s">
        <v>60</v>
      </c>
      <c r="I45" s="5">
        <v>46135</v>
      </c>
      <c r="J45" s="2" t="s">
        <v>300</v>
      </c>
      <c r="K45" s="2" t="s">
        <v>224</v>
      </c>
      <c r="L45" s="2" t="s">
        <v>309</v>
      </c>
      <c r="M45" s="2" t="s">
        <v>302</v>
      </c>
      <c r="N45" s="5"/>
      <c r="O45" s="2" t="s">
        <v>208</v>
      </c>
    </row>
    <row r="46" spans="1:15" ht="28.8" x14ac:dyDescent="0.3">
      <c r="A46" s="2" t="s">
        <v>310</v>
      </c>
      <c r="B46" s="2" t="s">
        <v>73</v>
      </c>
      <c r="C46" s="2" t="s">
        <v>74</v>
      </c>
      <c r="D46" s="2" t="s">
        <v>222</v>
      </c>
      <c r="E46" s="2" t="s">
        <v>27</v>
      </c>
      <c r="F46" s="2" t="s">
        <v>233</v>
      </c>
      <c r="G46" s="2" t="s">
        <v>60</v>
      </c>
      <c r="H46" s="2" t="s">
        <v>60</v>
      </c>
      <c r="I46" s="5">
        <v>46135</v>
      </c>
      <c r="J46" s="2" t="s">
        <v>205</v>
      </c>
      <c r="K46" s="2" t="s">
        <v>224</v>
      </c>
      <c r="L46" s="2" t="s">
        <v>311</v>
      </c>
      <c r="M46" s="2"/>
      <c r="N46" s="5">
        <v>46146</v>
      </c>
      <c r="O46" s="2" t="s">
        <v>208</v>
      </c>
    </row>
    <row r="47" spans="1:15" ht="28.8" x14ac:dyDescent="0.3">
      <c r="A47" s="2" t="s">
        <v>312</v>
      </c>
      <c r="B47" s="2" t="s">
        <v>73</v>
      </c>
      <c r="C47" s="2" t="s">
        <v>74</v>
      </c>
      <c r="D47" s="2" t="s">
        <v>222</v>
      </c>
      <c r="E47" s="2" t="s">
        <v>28</v>
      </c>
      <c r="F47" s="2" t="s">
        <v>236</v>
      </c>
      <c r="G47" s="2" t="s">
        <v>60</v>
      </c>
      <c r="H47" s="2" t="s">
        <v>60</v>
      </c>
      <c r="I47" s="5">
        <v>46135</v>
      </c>
      <c r="J47" s="2" t="s">
        <v>205</v>
      </c>
      <c r="K47" s="2" t="s">
        <v>224</v>
      </c>
      <c r="L47" s="2" t="s">
        <v>313</v>
      </c>
      <c r="M47" s="2"/>
      <c r="N47" s="5">
        <v>46146</v>
      </c>
      <c r="O47" s="2" t="s">
        <v>208</v>
      </c>
    </row>
    <row r="48" spans="1:15" ht="28.8" x14ac:dyDescent="0.3">
      <c r="A48" s="2" t="s">
        <v>314</v>
      </c>
      <c r="B48" s="2" t="s">
        <v>73</v>
      </c>
      <c r="C48" s="2" t="s">
        <v>74</v>
      </c>
      <c r="D48" s="2" t="s">
        <v>222</v>
      </c>
      <c r="E48" s="2" t="s">
        <v>29</v>
      </c>
      <c r="F48" s="2" t="s">
        <v>239</v>
      </c>
      <c r="G48" s="2" t="s">
        <v>60</v>
      </c>
      <c r="H48" s="2" t="s">
        <v>58</v>
      </c>
      <c r="I48" s="5"/>
      <c r="J48" s="2" t="s">
        <v>255</v>
      </c>
      <c r="K48" s="2" t="s">
        <v>224</v>
      </c>
      <c r="L48" s="2"/>
      <c r="M48" s="2" t="s">
        <v>256</v>
      </c>
      <c r="N48" s="5"/>
      <c r="O48" s="2" t="s">
        <v>208</v>
      </c>
    </row>
    <row r="49" spans="1:15" ht="28.8" x14ac:dyDescent="0.3">
      <c r="A49" s="2" t="s">
        <v>315</v>
      </c>
      <c r="B49" s="2" t="s">
        <v>73</v>
      </c>
      <c r="C49" s="2" t="s">
        <v>74</v>
      </c>
      <c r="D49" s="2" t="s">
        <v>222</v>
      </c>
      <c r="E49" s="2" t="s">
        <v>30</v>
      </c>
      <c r="F49" s="2" t="s">
        <v>242</v>
      </c>
      <c r="G49" s="2" t="s">
        <v>60</v>
      </c>
      <c r="H49" s="2" t="s">
        <v>58</v>
      </c>
      <c r="I49" s="5"/>
      <c r="J49" s="2" t="s">
        <v>255</v>
      </c>
      <c r="K49" s="2" t="s">
        <v>224</v>
      </c>
      <c r="L49" s="2"/>
      <c r="M49" s="2" t="s">
        <v>256</v>
      </c>
      <c r="N49" s="5"/>
      <c r="O49" s="2" t="s">
        <v>208</v>
      </c>
    </row>
    <row r="50" spans="1:15" ht="28.8" x14ac:dyDescent="0.3">
      <c r="A50" s="2" t="s">
        <v>316</v>
      </c>
      <c r="B50" s="2" t="s">
        <v>73</v>
      </c>
      <c r="C50" s="2" t="s">
        <v>74</v>
      </c>
      <c r="D50" s="2" t="s">
        <v>222</v>
      </c>
      <c r="E50" s="2" t="s">
        <v>31</v>
      </c>
      <c r="F50" s="2" t="s">
        <v>245</v>
      </c>
      <c r="G50" s="2" t="s">
        <v>60</v>
      </c>
      <c r="H50" s="2" t="s">
        <v>58</v>
      </c>
      <c r="I50" s="5"/>
      <c r="J50" s="2" t="s">
        <v>255</v>
      </c>
      <c r="K50" s="2" t="s">
        <v>224</v>
      </c>
      <c r="L50" s="2"/>
      <c r="M50" s="2" t="s">
        <v>256</v>
      </c>
      <c r="N50" s="5"/>
      <c r="O50" s="2" t="s">
        <v>208</v>
      </c>
    </row>
    <row r="51" spans="1:15" ht="28.8" x14ac:dyDescent="0.3">
      <c r="A51" s="2" t="s">
        <v>317</v>
      </c>
      <c r="B51" s="2" t="s">
        <v>73</v>
      </c>
      <c r="C51" s="2" t="s">
        <v>74</v>
      </c>
      <c r="D51" s="2" t="s">
        <v>222</v>
      </c>
      <c r="E51" s="2" t="s">
        <v>32</v>
      </c>
      <c r="F51" s="2" t="s">
        <v>248</v>
      </c>
      <c r="G51" s="2" t="s">
        <v>60</v>
      </c>
      <c r="H51" s="2" t="s">
        <v>58</v>
      </c>
      <c r="I51" s="5"/>
      <c r="J51" s="2" t="s">
        <v>255</v>
      </c>
      <c r="K51" s="2" t="s">
        <v>224</v>
      </c>
      <c r="L51" s="2"/>
      <c r="M51" s="2" t="s">
        <v>256</v>
      </c>
      <c r="N51" s="5"/>
      <c r="O51" s="2" t="s">
        <v>208</v>
      </c>
    </row>
    <row r="52" spans="1:15" ht="28.8" x14ac:dyDescent="0.3">
      <c r="A52" s="2" t="s">
        <v>318</v>
      </c>
      <c r="B52" s="2" t="s">
        <v>73</v>
      </c>
      <c r="C52" s="2" t="s">
        <v>74</v>
      </c>
      <c r="D52" s="2" t="s">
        <v>222</v>
      </c>
      <c r="E52" s="2" t="s">
        <v>33</v>
      </c>
      <c r="F52" s="2" t="s">
        <v>251</v>
      </c>
      <c r="G52" s="2" t="s">
        <v>60</v>
      </c>
      <c r="H52" s="2" t="s">
        <v>58</v>
      </c>
      <c r="I52" s="5"/>
      <c r="J52" s="2" t="s">
        <v>255</v>
      </c>
      <c r="K52" s="2" t="s">
        <v>224</v>
      </c>
      <c r="L52" s="2"/>
      <c r="M52" s="2" t="s">
        <v>256</v>
      </c>
      <c r="N52" s="5"/>
      <c r="O52" s="2" t="s">
        <v>208</v>
      </c>
    </row>
    <row r="53" spans="1:15" ht="28.8" x14ac:dyDescent="0.3">
      <c r="A53" s="2" t="s">
        <v>319</v>
      </c>
      <c r="B53" s="2" t="s">
        <v>73</v>
      </c>
      <c r="C53" s="2" t="s">
        <v>74</v>
      </c>
      <c r="D53" s="2" t="s">
        <v>222</v>
      </c>
      <c r="E53" s="2" t="s">
        <v>34</v>
      </c>
      <c r="F53" s="2" t="s">
        <v>254</v>
      </c>
      <c r="G53" s="2" t="s">
        <v>60</v>
      </c>
      <c r="H53" s="2" t="s">
        <v>58</v>
      </c>
      <c r="I53" s="5"/>
      <c r="J53" s="2" t="s">
        <v>255</v>
      </c>
      <c r="K53" s="2" t="s">
        <v>224</v>
      </c>
      <c r="L53" s="2"/>
      <c r="M53" s="2" t="s">
        <v>256</v>
      </c>
      <c r="N53" s="5"/>
      <c r="O53" s="2" t="s">
        <v>208</v>
      </c>
    </row>
    <row r="54" spans="1:15" ht="28.8" x14ac:dyDescent="0.3">
      <c r="A54" s="2" t="s">
        <v>320</v>
      </c>
      <c r="B54" s="2" t="s">
        <v>73</v>
      </c>
      <c r="C54" s="2" t="s">
        <v>74</v>
      </c>
      <c r="D54" s="2" t="s">
        <v>222</v>
      </c>
      <c r="E54" s="2" t="s">
        <v>35</v>
      </c>
      <c r="F54" s="2" t="s">
        <v>258</v>
      </c>
      <c r="G54" s="2" t="s">
        <v>60</v>
      </c>
      <c r="H54" s="2" t="s">
        <v>58</v>
      </c>
      <c r="I54" s="5"/>
      <c r="J54" s="2" t="s">
        <v>255</v>
      </c>
      <c r="K54" s="2" t="s">
        <v>224</v>
      </c>
      <c r="L54" s="2"/>
      <c r="M54" s="2" t="s">
        <v>256</v>
      </c>
      <c r="N54" s="5"/>
      <c r="O54" s="2" t="s">
        <v>208</v>
      </c>
    </row>
    <row r="55" spans="1:15" ht="28.8" x14ac:dyDescent="0.3">
      <c r="A55" s="2" t="s">
        <v>321</v>
      </c>
      <c r="B55" s="2" t="s">
        <v>73</v>
      </c>
      <c r="C55" s="2" t="s">
        <v>74</v>
      </c>
      <c r="D55" s="2" t="s">
        <v>222</v>
      </c>
      <c r="E55" s="2" t="s">
        <v>36</v>
      </c>
      <c r="F55" s="2" t="s">
        <v>260</v>
      </c>
      <c r="G55" s="2" t="s">
        <v>60</v>
      </c>
      <c r="H55" s="2" t="s">
        <v>58</v>
      </c>
      <c r="I55" s="5"/>
      <c r="J55" s="2" t="s">
        <v>255</v>
      </c>
      <c r="K55" s="2" t="s">
        <v>224</v>
      </c>
      <c r="L55" s="2"/>
      <c r="M55" s="2" t="s">
        <v>256</v>
      </c>
      <c r="N55" s="5"/>
      <c r="O55" s="2" t="s">
        <v>208</v>
      </c>
    </row>
    <row r="56" spans="1:15" ht="28.8" x14ac:dyDescent="0.3">
      <c r="A56" s="2" t="s">
        <v>322</v>
      </c>
      <c r="B56" s="2" t="s">
        <v>83</v>
      </c>
      <c r="C56" s="2" t="s">
        <v>84</v>
      </c>
      <c r="D56" s="2" t="s">
        <v>203</v>
      </c>
      <c r="E56" s="2" t="s">
        <v>19</v>
      </c>
      <c r="F56" s="2" t="s">
        <v>204</v>
      </c>
      <c r="G56" s="2" t="s">
        <v>60</v>
      </c>
      <c r="H56" s="2" t="s">
        <v>60</v>
      </c>
      <c r="I56" s="5">
        <v>46136</v>
      </c>
      <c r="J56" s="2" t="s">
        <v>205</v>
      </c>
      <c r="K56" s="2" t="s">
        <v>206</v>
      </c>
      <c r="L56" s="2" t="s">
        <v>323</v>
      </c>
      <c r="M56" s="2"/>
      <c r="N56" s="5">
        <v>46146</v>
      </c>
      <c r="O56" s="2" t="s">
        <v>208</v>
      </c>
    </row>
    <row r="57" spans="1:15" ht="28.8" x14ac:dyDescent="0.3">
      <c r="A57" s="2" t="s">
        <v>324</v>
      </c>
      <c r="B57" s="2" t="s">
        <v>83</v>
      </c>
      <c r="C57" s="2" t="s">
        <v>84</v>
      </c>
      <c r="D57" s="2" t="s">
        <v>203</v>
      </c>
      <c r="E57" s="2" t="s">
        <v>20</v>
      </c>
      <c r="F57" s="2" t="s">
        <v>210</v>
      </c>
      <c r="G57" s="2" t="s">
        <v>60</v>
      </c>
      <c r="H57" s="2" t="s">
        <v>60</v>
      </c>
      <c r="I57" s="5">
        <v>46136</v>
      </c>
      <c r="J57" s="2" t="s">
        <v>205</v>
      </c>
      <c r="K57" s="2" t="s">
        <v>206</v>
      </c>
      <c r="L57" s="2" t="s">
        <v>325</v>
      </c>
      <c r="M57" s="2"/>
      <c r="N57" s="5">
        <v>46146</v>
      </c>
      <c r="O57" s="2" t="s">
        <v>208</v>
      </c>
    </row>
    <row r="58" spans="1:15" ht="28.8" x14ac:dyDescent="0.3">
      <c r="A58" s="2" t="s">
        <v>326</v>
      </c>
      <c r="B58" s="2" t="s">
        <v>83</v>
      </c>
      <c r="C58" s="2" t="s">
        <v>84</v>
      </c>
      <c r="D58" s="2" t="s">
        <v>203</v>
      </c>
      <c r="E58" s="2" t="s">
        <v>21</v>
      </c>
      <c r="F58" s="2" t="s">
        <v>213</v>
      </c>
      <c r="G58" s="2" t="s">
        <v>60</v>
      </c>
      <c r="H58" s="2" t="s">
        <v>60</v>
      </c>
      <c r="I58" s="5">
        <v>46136</v>
      </c>
      <c r="J58" s="2" t="s">
        <v>205</v>
      </c>
      <c r="K58" s="2" t="s">
        <v>206</v>
      </c>
      <c r="L58" s="2" t="s">
        <v>327</v>
      </c>
      <c r="M58" s="2"/>
      <c r="N58" s="5">
        <v>46146</v>
      </c>
      <c r="O58" s="2" t="s">
        <v>208</v>
      </c>
    </row>
    <row r="59" spans="1:15" ht="28.8" x14ac:dyDescent="0.3">
      <c r="A59" s="2" t="s">
        <v>328</v>
      </c>
      <c r="B59" s="2" t="s">
        <v>83</v>
      </c>
      <c r="C59" s="2" t="s">
        <v>84</v>
      </c>
      <c r="D59" s="2" t="s">
        <v>203</v>
      </c>
      <c r="E59" s="2" t="s">
        <v>22</v>
      </c>
      <c r="F59" s="2" t="s">
        <v>216</v>
      </c>
      <c r="G59" s="2" t="s">
        <v>60</v>
      </c>
      <c r="H59" s="2" t="s">
        <v>60</v>
      </c>
      <c r="I59" s="5">
        <v>46136</v>
      </c>
      <c r="J59" s="2" t="s">
        <v>205</v>
      </c>
      <c r="K59" s="2" t="s">
        <v>206</v>
      </c>
      <c r="L59" s="2" t="s">
        <v>329</v>
      </c>
      <c r="M59" s="2"/>
      <c r="N59" s="5">
        <v>46146</v>
      </c>
      <c r="O59" s="2" t="s">
        <v>208</v>
      </c>
    </row>
    <row r="60" spans="1:15" ht="28.8" x14ac:dyDescent="0.3">
      <c r="A60" s="2" t="s">
        <v>330</v>
      </c>
      <c r="B60" s="2" t="s">
        <v>83</v>
      </c>
      <c r="C60" s="2" t="s">
        <v>84</v>
      </c>
      <c r="D60" s="2" t="s">
        <v>203</v>
      </c>
      <c r="E60" s="2" t="s">
        <v>23</v>
      </c>
      <c r="F60" s="2" t="s">
        <v>219</v>
      </c>
      <c r="G60" s="2" t="s">
        <v>60</v>
      </c>
      <c r="H60" s="2" t="s">
        <v>60</v>
      </c>
      <c r="I60" s="5">
        <v>46136</v>
      </c>
      <c r="J60" s="2" t="s">
        <v>205</v>
      </c>
      <c r="K60" s="2" t="s">
        <v>206</v>
      </c>
      <c r="L60" s="2" t="s">
        <v>331</v>
      </c>
      <c r="M60" s="2"/>
      <c r="N60" s="5">
        <v>46146</v>
      </c>
      <c r="O60" s="2" t="s">
        <v>208</v>
      </c>
    </row>
    <row r="61" spans="1:15" ht="28.8" x14ac:dyDescent="0.3">
      <c r="A61" s="2" t="s">
        <v>332</v>
      </c>
      <c r="B61" s="2" t="s">
        <v>83</v>
      </c>
      <c r="C61" s="2" t="s">
        <v>84</v>
      </c>
      <c r="D61" s="2" t="s">
        <v>222</v>
      </c>
      <c r="E61" s="2" t="s">
        <v>24</v>
      </c>
      <c r="F61" s="2" t="s">
        <v>223</v>
      </c>
      <c r="G61" s="2" t="s">
        <v>60</v>
      </c>
      <c r="H61" s="2" t="s">
        <v>60</v>
      </c>
      <c r="I61" s="5">
        <v>46136</v>
      </c>
      <c r="J61" s="2" t="s">
        <v>205</v>
      </c>
      <c r="K61" s="2" t="s">
        <v>224</v>
      </c>
      <c r="L61" s="2" t="s">
        <v>333</v>
      </c>
      <c r="M61" s="2"/>
      <c r="N61" s="5">
        <v>46146</v>
      </c>
      <c r="O61" s="2" t="s">
        <v>208</v>
      </c>
    </row>
    <row r="62" spans="1:15" ht="28.8" x14ac:dyDescent="0.3">
      <c r="A62" s="2" t="s">
        <v>334</v>
      </c>
      <c r="B62" s="2" t="s">
        <v>83</v>
      </c>
      <c r="C62" s="2" t="s">
        <v>84</v>
      </c>
      <c r="D62" s="2" t="s">
        <v>222</v>
      </c>
      <c r="E62" s="2" t="s">
        <v>25</v>
      </c>
      <c r="F62" s="2" t="s">
        <v>227</v>
      </c>
      <c r="G62" s="2" t="s">
        <v>60</v>
      </c>
      <c r="H62" s="2" t="s">
        <v>60</v>
      </c>
      <c r="I62" s="5">
        <v>46136</v>
      </c>
      <c r="J62" s="2" t="s">
        <v>205</v>
      </c>
      <c r="K62" s="2" t="s">
        <v>224</v>
      </c>
      <c r="L62" s="2" t="s">
        <v>335</v>
      </c>
      <c r="M62" s="2"/>
      <c r="N62" s="5">
        <v>46146</v>
      </c>
      <c r="O62" s="2" t="s">
        <v>208</v>
      </c>
    </row>
    <row r="63" spans="1:15" ht="28.8" x14ac:dyDescent="0.3">
      <c r="A63" s="2" t="s">
        <v>336</v>
      </c>
      <c r="B63" s="2" t="s">
        <v>83</v>
      </c>
      <c r="C63" s="2" t="s">
        <v>84</v>
      </c>
      <c r="D63" s="2" t="s">
        <v>222</v>
      </c>
      <c r="E63" s="2" t="s">
        <v>26</v>
      </c>
      <c r="F63" s="2" t="s">
        <v>230</v>
      </c>
      <c r="G63" s="2" t="s">
        <v>60</v>
      </c>
      <c r="H63" s="2" t="s">
        <v>60</v>
      </c>
      <c r="I63" s="5">
        <v>46136</v>
      </c>
      <c r="J63" s="2" t="s">
        <v>205</v>
      </c>
      <c r="K63" s="2" t="s">
        <v>224</v>
      </c>
      <c r="L63" s="2" t="s">
        <v>337</v>
      </c>
      <c r="M63" s="2"/>
      <c r="N63" s="5">
        <v>46146</v>
      </c>
      <c r="O63" s="2" t="s">
        <v>208</v>
      </c>
    </row>
    <row r="64" spans="1:15" ht="28.8" x14ac:dyDescent="0.3">
      <c r="A64" s="2" t="s">
        <v>338</v>
      </c>
      <c r="B64" s="2" t="s">
        <v>83</v>
      </c>
      <c r="C64" s="2" t="s">
        <v>84</v>
      </c>
      <c r="D64" s="2" t="s">
        <v>222</v>
      </c>
      <c r="E64" s="2" t="s">
        <v>27</v>
      </c>
      <c r="F64" s="2" t="s">
        <v>233</v>
      </c>
      <c r="G64" s="2" t="s">
        <v>60</v>
      </c>
      <c r="H64" s="2" t="s">
        <v>60</v>
      </c>
      <c r="I64" s="5">
        <v>46136</v>
      </c>
      <c r="J64" s="2" t="s">
        <v>205</v>
      </c>
      <c r="K64" s="2" t="s">
        <v>224</v>
      </c>
      <c r="L64" s="2" t="s">
        <v>339</v>
      </c>
      <c r="M64" s="2"/>
      <c r="N64" s="5">
        <v>46146</v>
      </c>
      <c r="O64" s="2" t="s">
        <v>208</v>
      </c>
    </row>
    <row r="65" spans="1:15" ht="28.8" x14ac:dyDescent="0.3">
      <c r="A65" s="2" t="s">
        <v>340</v>
      </c>
      <c r="B65" s="2" t="s">
        <v>83</v>
      </c>
      <c r="C65" s="2" t="s">
        <v>84</v>
      </c>
      <c r="D65" s="2" t="s">
        <v>222</v>
      </c>
      <c r="E65" s="2" t="s">
        <v>28</v>
      </c>
      <c r="F65" s="2" t="s">
        <v>236</v>
      </c>
      <c r="G65" s="2" t="s">
        <v>60</v>
      </c>
      <c r="H65" s="2" t="s">
        <v>60</v>
      </c>
      <c r="I65" s="5">
        <v>46136</v>
      </c>
      <c r="J65" s="2" t="s">
        <v>205</v>
      </c>
      <c r="K65" s="2" t="s">
        <v>224</v>
      </c>
      <c r="L65" s="2" t="s">
        <v>341</v>
      </c>
      <c r="M65" s="2"/>
      <c r="N65" s="5">
        <v>46146</v>
      </c>
      <c r="O65" s="2" t="s">
        <v>208</v>
      </c>
    </row>
    <row r="66" spans="1:15" ht="28.8" x14ac:dyDescent="0.3">
      <c r="A66" s="2" t="s">
        <v>342</v>
      </c>
      <c r="B66" s="2" t="s">
        <v>83</v>
      </c>
      <c r="C66" s="2" t="s">
        <v>84</v>
      </c>
      <c r="D66" s="2" t="s">
        <v>222</v>
      </c>
      <c r="E66" s="2" t="s">
        <v>29</v>
      </c>
      <c r="F66" s="2" t="s">
        <v>239</v>
      </c>
      <c r="G66" s="2" t="s">
        <v>60</v>
      </c>
      <c r="H66" s="2" t="s">
        <v>60</v>
      </c>
      <c r="I66" s="5">
        <v>46136</v>
      </c>
      <c r="J66" s="2" t="s">
        <v>205</v>
      </c>
      <c r="K66" s="2" t="s">
        <v>224</v>
      </c>
      <c r="L66" s="2" t="s">
        <v>343</v>
      </c>
      <c r="M66" s="2"/>
      <c r="N66" s="5">
        <v>46146</v>
      </c>
      <c r="O66" s="2" t="s">
        <v>208</v>
      </c>
    </row>
    <row r="67" spans="1:15" ht="28.8" x14ac:dyDescent="0.3">
      <c r="A67" s="2" t="s">
        <v>344</v>
      </c>
      <c r="B67" s="2" t="s">
        <v>83</v>
      </c>
      <c r="C67" s="2" t="s">
        <v>84</v>
      </c>
      <c r="D67" s="2" t="s">
        <v>222</v>
      </c>
      <c r="E67" s="2" t="s">
        <v>30</v>
      </c>
      <c r="F67" s="2" t="s">
        <v>242</v>
      </c>
      <c r="G67" s="2" t="s">
        <v>60</v>
      </c>
      <c r="H67" s="2" t="s">
        <v>60</v>
      </c>
      <c r="I67" s="5">
        <v>46136</v>
      </c>
      <c r="J67" s="2" t="s">
        <v>205</v>
      </c>
      <c r="K67" s="2" t="s">
        <v>224</v>
      </c>
      <c r="L67" s="2" t="s">
        <v>345</v>
      </c>
      <c r="M67" s="2"/>
      <c r="N67" s="5">
        <v>46146</v>
      </c>
      <c r="O67" s="2" t="s">
        <v>208</v>
      </c>
    </row>
    <row r="68" spans="1:15" ht="28.8" x14ac:dyDescent="0.3">
      <c r="A68" s="2" t="s">
        <v>346</v>
      </c>
      <c r="B68" s="2" t="s">
        <v>83</v>
      </c>
      <c r="C68" s="2" t="s">
        <v>84</v>
      </c>
      <c r="D68" s="2" t="s">
        <v>222</v>
      </c>
      <c r="E68" s="2" t="s">
        <v>31</v>
      </c>
      <c r="F68" s="2" t="s">
        <v>245</v>
      </c>
      <c r="G68" s="2" t="s">
        <v>60</v>
      </c>
      <c r="H68" s="2" t="s">
        <v>60</v>
      </c>
      <c r="I68" s="5">
        <v>46136</v>
      </c>
      <c r="J68" s="2" t="s">
        <v>205</v>
      </c>
      <c r="K68" s="2" t="s">
        <v>224</v>
      </c>
      <c r="L68" s="2" t="s">
        <v>347</v>
      </c>
      <c r="M68" s="2"/>
      <c r="N68" s="5">
        <v>46146</v>
      </c>
      <c r="O68" s="2" t="s">
        <v>208</v>
      </c>
    </row>
    <row r="69" spans="1:15" ht="28.8" x14ac:dyDescent="0.3">
      <c r="A69" s="2" t="s">
        <v>348</v>
      </c>
      <c r="B69" s="2" t="s">
        <v>83</v>
      </c>
      <c r="C69" s="2" t="s">
        <v>84</v>
      </c>
      <c r="D69" s="2" t="s">
        <v>222</v>
      </c>
      <c r="E69" s="2" t="s">
        <v>32</v>
      </c>
      <c r="F69" s="2" t="s">
        <v>248</v>
      </c>
      <c r="G69" s="2" t="s">
        <v>60</v>
      </c>
      <c r="H69" s="2" t="s">
        <v>60</v>
      </c>
      <c r="I69" s="5">
        <v>46136</v>
      </c>
      <c r="J69" s="2" t="s">
        <v>205</v>
      </c>
      <c r="K69" s="2" t="s">
        <v>224</v>
      </c>
      <c r="L69" s="2" t="s">
        <v>349</v>
      </c>
      <c r="M69" s="2"/>
      <c r="N69" s="5">
        <v>46146</v>
      </c>
      <c r="O69" s="2" t="s">
        <v>208</v>
      </c>
    </row>
    <row r="70" spans="1:15" ht="28.8" x14ac:dyDescent="0.3">
      <c r="A70" s="2" t="s">
        <v>350</v>
      </c>
      <c r="B70" s="2" t="s">
        <v>83</v>
      </c>
      <c r="C70" s="2" t="s">
        <v>84</v>
      </c>
      <c r="D70" s="2" t="s">
        <v>222</v>
      </c>
      <c r="E70" s="2" t="s">
        <v>33</v>
      </c>
      <c r="F70" s="2" t="s">
        <v>251</v>
      </c>
      <c r="G70" s="2" t="s">
        <v>60</v>
      </c>
      <c r="H70" s="2" t="s">
        <v>60</v>
      </c>
      <c r="I70" s="5">
        <v>46136</v>
      </c>
      <c r="J70" s="2" t="s">
        <v>205</v>
      </c>
      <c r="K70" s="2" t="s">
        <v>224</v>
      </c>
      <c r="L70" s="2" t="s">
        <v>351</v>
      </c>
      <c r="M70" s="2"/>
      <c r="N70" s="5">
        <v>46146</v>
      </c>
      <c r="O70" s="2" t="s">
        <v>208</v>
      </c>
    </row>
    <row r="71" spans="1:15" ht="28.8" x14ac:dyDescent="0.3">
      <c r="A71" s="2" t="s">
        <v>352</v>
      </c>
      <c r="B71" s="2" t="s">
        <v>83</v>
      </c>
      <c r="C71" s="2" t="s">
        <v>84</v>
      </c>
      <c r="D71" s="2" t="s">
        <v>222</v>
      </c>
      <c r="E71" s="2" t="s">
        <v>34</v>
      </c>
      <c r="F71" s="2" t="s">
        <v>254</v>
      </c>
      <c r="G71" s="2" t="s">
        <v>60</v>
      </c>
      <c r="H71" s="2" t="s">
        <v>60</v>
      </c>
      <c r="I71" s="5">
        <v>46136</v>
      </c>
      <c r="J71" s="2" t="s">
        <v>205</v>
      </c>
      <c r="K71" s="2" t="s">
        <v>224</v>
      </c>
      <c r="L71" s="2" t="s">
        <v>353</v>
      </c>
      <c r="M71" s="2"/>
      <c r="N71" s="5">
        <v>46146</v>
      </c>
      <c r="O71" s="2" t="s">
        <v>208</v>
      </c>
    </row>
    <row r="72" spans="1:15" ht="28.8" x14ac:dyDescent="0.3">
      <c r="A72" s="2" t="s">
        <v>354</v>
      </c>
      <c r="B72" s="2" t="s">
        <v>83</v>
      </c>
      <c r="C72" s="2" t="s">
        <v>84</v>
      </c>
      <c r="D72" s="2" t="s">
        <v>222</v>
      </c>
      <c r="E72" s="2" t="s">
        <v>35</v>
      </c>
      <c r="F72" s="2" t="s">
        <v>258</v>
      </c>
      <c r="G72" s="2" t="s">
        <v>60</v>
      </c>
      <c r="H72" s="2" t="s">
        <v>60</v>
      </c>
      <c r="I72" s="5">
        <v>46136</v>
      </c>
      <c r="J72" s="2" t="s">
        <v>205</v>
      </c>
      <c r="K72" s="2" t="s">
        <v>224</v>
      </c>
      <c r="L72" s="2" t="s">
        <v>355</v>
      </c>
      <c r="M72" s="2"/>
      <c r="N72" s="5">
        <v>46146</v>
      </c>
      <c r="O72" s="2" t="s">
        <v>208</v>
      </c>
    </row>
    <row r="73" spans="1:15" ht="28.8" x14ac:dyDescent="0.3">
      <c r="A73" s="2" t="s">
        <v>356</v>
      </c>
      <c r="B73" s="2" t="s">
        <v>83</v>
      </c>
      <c r="C73" s="2" t="s">
        <v>84</v>
      </c>
      <c r="D73" s="2" t="s">
        <v>222</v>
      </c>
      <c r="E73" s="2" t="s">
        <v>36</v>
      </c>
      <c r="F73" s="2" t="s">
        <v>260</v>
      </c>
      <c r="G73" s="2" t="s">
        <v>60</v>
      </c>
      <c r="H73" s="2" t="s">
        <v>60</v>
      </c>
      <c r="I73" s="5">
        <v>46136</v>
      </c>
      <c r="J73" s="2" t="s">
        <v>205</v>
      </c>
      <c r="K73" s="2" t="s">
        <v>224</v>
      </c>
      <c r="L73" s="2" t="s">
        <v>357</v>
      </c>
      <c r="M73" s="2"/>
      <c r="N73" s="5">
        <v>46146</v>
      </c>
      <c r="O73" s="2" t="s">
        <v>208</v>
      </c>
    </row>
    <row r="74" spans="1:15" ht="28.8" x14ac:dyDescent="0.3">
      <c r="A74" s="2" t="s">
        <v>358</v>
      </c>
      <c r="B74" s="2" t="s">
        <v>93</v>
      </c>
      <c r="C74" s="2" t="s">
        <v>94</v>
      </c>
      <c r="D74" s="2" t="s">
        <v>203</v>
      </c>
      <c r="E74" s="2" t="s">
        <v>19</v>
      </c>
      <c r="F74" s="2" t="s">
        <v>204</v>
      </c>
      <c r="G74" s="2" t="s">
        <v>60</v>
      </c>
      <c r="H74" s="2" t="s">
        <v>60</v>
      </c>
      <c r="I74" s="5">
        <v>46137</v>
      </c>
      <c r="J74" s="2" t="s">
        <v>205</v>
      </c>
      <c r="K74" s="2" t="s">
        <v>206</v>
      </c>
      <c r="L74" s="2" t="s">
        <v>359</v>
      </c>
      <c r="M74" s="2"/>
      <c r="N74" s="5">
        <v>46146</v>
      </c>
      <c r="O74" s="2" t="s">
        <v>208</v>
      </c>
    </row>
    <row r="75" spans="1:15" ht="28.8" x14ac:dyDescent="0.3">
      <c r="A75" s="2" t="s">
        <v>360</v>
      </c>
      <c r="B75" s="2" t="s">
        <v>93</v>
      </c>
      <c r="C75" s="2" t="s">
        <v>94</v>
      </c>
      <c r="D75" s="2" t="s">
        <v>203</v>
      </c>
      <c r="E75" s="2" t="s">
        <v>20</v>
      </c>
      <c r="F75" s="2" t="s">
        <v>210</v>
      </c>
      <c r="G75" s="2" t="s">
        <v>60</v>
      </c>
      <c r="H75" s="2" t="s">
        <v>60</v>
      </c>
      <c r="I75" s="5">
        <v>46137</v>
      </c>
      <c r="J75" s="2" t="s">
        <v>205</v>
      </c>
      <c r="K75" s="2" t="s">
        <v>206</v>
      </c>
      <c r="L75" s="2" t="s">
        <v>361</v>
      </c>
      <c r="M75" s="2"/>
      <c r="N75" s="5">
        <v>46146</v>
      </c>
      <c r="O75" s="2" t="s">
        <v>208</v>
      </c>
    </row>
    <row r="76" spans="1:15" ht="28.8" x14ac:dyDescent="0.3">
      <c r="A76" s="2" t="s">
        <v>362</v>
      </c>
      <c r="B76" s="2" t="s">
        <v>93</v>
      </c>
      <c r="C76" s="2" t="s">
        <v>94</v>
      </c>
      <c r="D76" s="2" t="s">
        <v>203</v>
      </c>
      <c r="E76" s="2" t="s">
        <v>21</v>
      </c>
      <c r="F76" s="2" t="s">
        <v>213</v>
      </c>
      <c r="G76" s="2" t="s">
        <v>60</v>
      </c>
      <c r="H76" s="2" t="s">
        <v>60</v>
      </c>
      <c r="I76" s="5">
        <v>46137</v>
      </c>
      <c r="J76" s="2" t="s">
        <v>205</v>
      </c>
      <c r="K76" s="2" t="s">
        <v>206</v>
      </c>
      <c r="L76" s="2" t="s">
        <v>363</v>
      </c>
      <c r="M76" s="2"/>
      <c r="N76" s="5">
        <v>46146</v>
      </c>
      <c r="O76" s="2" t="s">
        <v>208</v>
      </c>
    </row>
    <row r="77" spans="1:15" ht="28.8" x14ac:dyDescent="0.3">
      <c r="A77" s="2" t="s">
        <v>364</v>
      </c>
      <c r="B77" s="2" t="s">
        <v>93</v>
      </c>
      <c r="C77" s="2" t="s">
        <v>94</v>
      </c>
      <c r="D77" s="2" t="s">
        <v>203</v>
      </c>
      <c r="E77" s="2" t="s">
        <v>22</v>
      </c>
      <c r="F77" s="2" t="s">
        <v>216</v>
      </c>
      <c r="G77" s="2" t="s">
        <v>60</v>
      </c>
      <c r="H77" s="2" t="s">
        <v>58</v>
      </c>
      <c r="I77" s="5"/>
      <c r="J77" s="2" t="s">
        <v>255</v>
      </c>
      <c r="K77" s="2" t="s">
        <v>206</v>
      </c>
      <c r="L77" s="2"/>
      <c r="M77" s="2" t="s">
        <v>256</v>
      </c>
      <c r="N77" s="5"/>
      <c r="O77" s="2" t="s">
        <v>208</v>
      </c>
    </row>
    <row r="78" spans="1:15" ht="28.8" x14ac:dyDescent="0.3">
      <c r="A78" s="2" t="s">
        <v>365</v>
      </c>
      <c r="B78" s="2" t="s">
        <v>93</v>
      </c>
      <c r="C78" s="2" t="s">
        <v>94</v>
      </c>
      <c r="D78" s="2" t="s">
        <v>203</v>
      </c>
      <c r="E78" s="2" t="s">
        <v>23</v>
      </c>
      <c r="F78" s="2" t="s">
        <v>219</v>
      </c>
      <c r="G78" s="2" t="s">
        <v>60</v>
      </c>
      <c r="H78" s="2" t="s">
        <v>58</v>
      </c>
      <c r="I78" s="5"/>
      <c r="J78" s="2" t="s">
        <v>255</v>
      </c>
      <c r="K78" s="2" t="s">
        <v>206</v>
      </c>
      <c r="L78" s="2"/>
      <c r="M78" s="2" t="s">
        <v>256</v>
      </c>
      <c r="N78" s="5"/>
      <c r="O78" s="2" t="s">
        <v>208</v>
      </c>
    </row>
    <row r="79" spans="1:15" ht="28.8" x14ac:dyDescent="0.3">
      <c r="A79" s="2" t="s">
        <v>366</v>
      </c>
      <c r="B79" s="2" t="s">
        <v>93</v>
      </c>
      <c r="C79" s="2" t="s">
        <v>94</v>
      </c>
      <c r="D79" s="2" t="s">
        <v>222</v>
      </c>
      <c r="E79" s="2" t="s">
        <v>24</v>
      </c>
      <c r="F79" s="2" t="s">
        <v>223</v>
      </c>
      <c r="G79" s="2" t="s">
        <v>60</v>
      </c>
      <c r="H79" s="2" t="s">
        <v>60</v>
      </c>
      <c r="I79" s="5">
        <v>46137</v>
      </c>
      <c r="J79" s="2" t="s">
        <v>205</v>
      </c>
      <c r="K79" s="2" t="s">
        <v>224</v>
      </c>
      <c r="L79" s="2" t="s">
        <v>367</v>
      </c>
      <c r="M79" s="2"/>
      <c r="N79" s="5">
        <v>46146</v>
      </c>
      <c r="O79" s="2" t="s">
        <v>208</v>
      </c>
    </row>
    <row r="80" spans="1:15" ht="28.8" x14ac:dyDescent="0.3">
      <c r="A80" s="2" t="s">
        <v>368</v>
      </c>
      <c r="B80" s="2" t="s">
        <v>93</v>
      </c>
      <c r="C80" s="2" t="s">
        <v>94</v>
      </c>
      <c r="D80" s="2" t="s">
        <v>222</v>
      </c>
      <c r="E80" s="2" t="s">
        <v>25</v>
      </c>
      <c r="F80" s="2" t="s">
        <v>227</v>
      </c>
      <c r="G80" s="2" t="s">
        <v>60</v>
      </c>
      <c r="H80" s="2" t="s">
        <v>60</v>
      </c>
      <c r="I80" s="5">
        <v>46137</v>
      </c>
      <c r="J80" s="2" t="s">
        <v>205</v>
      </c>
      <c r="K80" s="2" t="s">
        <v>224</v>
      </c>
      <c r="L80" s="2" t="s">
        <v>369</v>
      </c>
      <c r="M80" s="2"/>
      <c r="N80" s="5">
        <v>46146</v>
      </c>
      <c r="O80" s="2" t="s">
        <v>208</v>
      </c>
    </row>
    <row r="81" spans="1:15" ht="28.8" x14ac:dyDescent="0.3">
      <c r="A81" s="2" t="s">
        <v>370</v>
      </c>
      <c r="B81" s="2" t="s">
        <v>93</v>
      </c>
      <c r="C81" s="2" t="s">
        <v>94</v>
      </c>
      <c r="D81" s="2" t="s">
        <v>222</v>
      </c>
      <c r="E81" s="2" t="s">
        <v>26</v>
      </c>
      <c r="F81" s="2" t="s">
        <v>230</v>
      </c>
      <c r="G81" s="2" t="s">
        <v>60</v>
      </c>
      <c r="H81" s="2" t="s">
        <v>58</v>
      </c>
      <c r="I81" s="5"/>
      <c r="J81" s="2" t="s">
        <v>255</v>
      </c>
      <c r="K81" s="2" t="s">
        <v>224</v>
      </c>
      <c r="L81" s="2"/>
      <c r="M81" s="2" t="s">
        <v>256</v>
      </c>
      <c r="N81" s="5"/>
      <c r="O81" s="2" t="s">
        <v>208</v>
      </c>
    </row>
    <row r="82" spans="1:15" ht="28.8" x14ac:dyDescent="0.3">
      <c r="A82" s="2" t="s">
        <v>371</v>
      </c>
      <c r="B82" s="2" t="s">
        <v>93</v>
      </c>
      <c r="C82" s="2" t="s">
        <v>94</v>
      </c>
      <c r="D82" s="2" t="s">
        <v>222</v>
      </c>
      <c r="E82" s="2" t="s">
        <v>27</v>
      </c>
      <c r="F82" s="2" t="s">
        <v>233</v>
      </c>
      <c r="G82" s="2" t="s">
        <v>60</v>
      </c>
      <c r="H82" s="2" t="s">
        <v>58</v>
      </c>
      <c r="I82" s="5"/>
      <c r="J82" s="2" t="s">
        <v>255</v>
      </c>
      <c r="K82" s="2" t="s">
        <v>224</v>
      </c>
      <c r="L82" s="2"/>
      <c r="M82" s="2" t="s">
        <v>256</v>
      </c>
      <c r="N82" s="5"/>
      <c r="O82" s="2" t="s">
        <v>208</v>
      </c>
    </row>
    <row r="83" spans="1:15" ht="28.8" x14ac:dyDescent="0.3">
      <c r="A83" s="2" t="s">
        <v>372</v>
      </c>
      <c r="B83" s="2" t="s">
        <v>93</v>
      </c>
      <c r="C83" s="2" t="s">
        <v>94</v>
      </c>
      <c r="D83" s="2" t="s">
        <v>222</v>
      </c>
      <c r="E83" s="2" t="s">
        <v>28</v>
      </c>
      <c r="F83" s="2" t="s">
        <v>236</v>
      </c>
      <c r="G83" s="2" t="s">
        <v>60</v>
      </c>
      <c r="H83" s="2" t="s">
        <v>58</v>
      </c>
      <c r="I83" s="5"/>
      <c r="J83" s="2" t="s">
        <v>255</v>
      </c>
      <c r="K83" s="2" t="s">
        <v>224</v>
      </c>
      <c r="L83" s="2"/>
      <c r="M83" s="2" t="s">
        <v>256</v>
      </c>
      <c r="N83" s="5"/>
      <c r="O83" s="2" t="s">
        <v>208</v>
      </c>
    </row>
    <row r="84" spans="1:15" ht="28.8" x14ac:dyDescent="0.3">
      <c r="A84" s="2" t="s">
        <v>373</v>
      </c>
      <c r="B84" s="2" t="s">
        <v>93</v>
      </c>
      <c r="C84" s="2" t="s">
        <v>94</v>
      </c>
      <c r="D84" s="2" t="s">
        <v>222</v>
      </c>
      <c r="E84" s="2" t="s">
        <v>29</v>
      </c>
      <c r="F84" s="2" t="s">
        <v>239</v>
      </c>
      <c r="G84" s="2" t="s">
        <v>60</v>
      </c>
      <c r="H84" s="2" t="s">
        <v>58</v>
      </c>
      <c r="I84" s="5"/>
      <c r="J84" s="2" t="s">
        <v>255</v>
      </c>
      <c r="K84" s="2" t="s">
        <v>224</v>
      </c>
      <c r="L84" s="2"/>
      <c r="M84" s="2" t="s">
        <v>256</v>
      </c>
      <c r="N84" s="5"/>
      <c r="O84" s="2" t="s">
        <v>208</v>
      </c>
    </row>
    <row r="85" spans="1:15" ht="28.8" x14ac:dyDescent="0.3">
      <c r="A85" s="2" t="s">
        <v>374</v>
      </c>
      <c r="B85" s="2" t="s">
        <v>93</v>
      </c>
      <c r="C85" s="2" t="s">
        <v>94</v>
      </c>
      <c r="D85" s="2" t="s">
        <v>222</v>
      </c>
      <c r="E85" s="2" t="s">
        <v>30</v>
      </c>
      <c r="F85" s="2" t="s">
        <v>242</v>
      </c>
      <c r="G85" s="2" t="s">
        <v>60</v>
      </c>
      <c r="H85" s="2" t="s">
        <v>58</v>
      </c>
      <c r="I85" s="5"/>
      <c r="J85" s="2" t="s">
        <v>255</v>
      </c>
      <c r="K85" s="2" t="s">
        <v>224</v>
      </c>
      <c r="L85" s="2"/>
      <c r="M85" s="2" t="s">
        <v>256</v>
      </c>
      <c r="N85" s="5"/>
      <c r="O85" s="2" t="s">
        <v>208</v>
      </c>
    </row>
    <row r="86" spans="1:15" ht="28.8" x14ac:dyDescent="0.3">
      <c r="A86" s="2" t="s">
        <v>375</v>
      </c>
      <c r="B86" s="2" t="s">
        <v>93</v>
      </c>
      <c r="C86" s="2" t="s">
        <v>94</v>
      </c>
      <c r="D86" s="2" t="s">
        <v>222</v>
      </c>
      <c r="E86" s="2" t="s">
        <v>31</v>
      </c>
      <c r="F86" s="2" t="s">
        <v>245</v>
      </c>
      <c r="G86" s="2" t="s">
        <v>60</v>
      </c>
      <c r="H86" s="2" t="s">
        <v>58</v>
      </c>
      <c r="I86" s="5"/>
      <c r="J86" s="2" t="s">
        <v>255</v>
      </c>
      <c r="K86" s="2" t="s">
        <v>224</v>
      </c>
      <c r="L86" s="2"/>
      <c r="M86" s="2" t="s">
        <v>256</v>
      </c>
      <c r="N86" s="5"/>
      <c r="O86" s="2" t="s">
        <v>208</v>
      </c>
    </row>
    <row r="87" spans="1:15" ht="28.8" x14ac:dyDescent="0.3">
      <c r="A87" s="2" t="s">
        <v>376</v>
      </c>
      <c r="B87" s="2" t="s">
        <v>93</v>
      </c>
      <c r="C87" s="2" t="s">
        <v>94</v>
      </c>
      <c r="D87" s="2" t="s">
        <v>222</v>
      </c>
      <c r="E87" s="2" t="s">
        <v>32</v>
      </c>
      <c r="F87" s="2" t="s">
        <v>248</v>
      </c>
      <c r="G87" s="2" t="s">
        <v>60</v>
      </c>
      <c r="H87" s="2" t="s">
        <v>58</v>
      </c>
      <c r="I87" s="5"/>
      <c r="J87" s="2" t="s">
        <v>255</v>
      </c>
      <c r="K87" s="2" t="s">
        <v>224</v>
      </c>
      <c r="L87" s="2"/>
      <c r="M87" s="2" t="s">
        <v>256</v>
      </c>
      <c r="N87" s="5"/>
      <c r="O87" s="2" t="s">
        <v>208</v>
      </c>
    </row>
    <row r="88" spans="1:15" ht="28.8" x14ac:dyDescent="0.3">
      <c r="A88" s="2" t="s">
        <v>377</v>
      </c>
      <c r="B88" s="2" t="s">
        <v>93</v>
      </c>
      <c r="C88" s="2" t="s">
        <v>94</v>
      </c>
      <c r="D88" s="2" t="s">
        <v>222</v>
      </c>
      <c r="E88" s="2" t="s">
        <v>33</v>
      </c>
      <c r="F88" s="2" t="s">
        <v>251</v>
      </c>
      <c r="G88" s="2" t="s">
        <v>60</v>
      </c>
      <c r="H88" s="2" t="s">
        <v>58</v>
      </c>
      <c r="I88" s="5"/>
      <c r="J88" s="2" t="s">
        <v>255</v>
      </c>
      <c r="K88" s="2" t="s">
        <v>224</v>
      </c>
      <c r="L88" s="2"/>
      <c r="M88" s="2" t="s">
        <v>256</v>
      </c>
      <c r="N88" s="5"/>
      <c r="O88" s="2" t="s">
        <v>208</v>
      </c>
    </row>
    <row r="89" spans="1:15" ht="28.8" x14ac:dyDescent="0.3">
      <c r="A89" s="2" t="s">
        <v>378</v>
      </c>
      <c r="B89" s="2" t="s">
        <v>93</v>
      </c>
      <c r="C89" s="2" t="s">
        <v>94</v>
      </c>
      <c r="D89" s="2" t="s">
        <v>222</v>
      </c>
      <c r="E89" s="2" t="s">
        <v>34</v>
      </c>
      <c r="F89" s="2" t="s">
        <v>254</v>
      </c>
      <c r="G89" s="2" t="s">
        <v>60</v>
      </c>
      <c r="H89" s="2" t="s">
        <v>58</v>
      </c>
      <c r="I89" s="5"/>
      <c r="J89" s="2" t="s">
        <v>255</v>
      </c>
      <c r="K89" s="2" t="s">
        <v>224</v>
      </c>
      <c r="L89" s="2"/>
      <c r="M89" s="2" t="s">
        <v>256</v>
      </c>
      <c r="N89" s="5"/>
      <c r="O89" s="2" t="s">
        <v>208</v>
      </c>
    </row>
    <row r="90" spans="1:15" ht="28.8" x14ac:dyDescent="0.3">
      <c r="A90" s="2" t="s">
        <v>379</v>
      </c>
      <c r="B90" s="2" t="s">
        <v>93</v>
      </c>
      <c r="C90" s="2" t="s">
        <v>94</v>
      </c>
      <c r="D90" s="2" t="s">
        <v>222</v>
      </c>
      <c r="E90" s="2" t="s">
        <v>35</v>
      </c>
      <c r="F90" s="2" t="s">
        <v>258</v>
      </c>
      <c r="G90" s="2" t="s">
        <v>60</v>
      </c>
      <c r="H90" s="2" t="s">
        <v>58</v>
      </c>
      <c r="I90" s="5"/>
      <c r="J90" s="2" t="s">
        <v>255</v>
      </c>
      <c r="K90" s="2" t="s">
        <v>224</v>
      </c>
      <c r="L90" s="2"/>
      <c r="M90" s="2" t="s">
        <v>256</v>
      </c>
      <c r="N90" s="5"/>
      <c r="O90" s="2" t="s">
        <v>208</v>
      </c>
    </row>
    <row r="91" spans="1:15" ht="28.8" x14ac:dyDescent="0.3">
      <c r="A91" s="2" t="s">
        <v>380</v>
      </c>
      <c r="B91" s="2" t="s">
        <v>93</v>
      </c>
      <c r="C91" s="2" t="s">
        <v>94</v>
      </c>
      <c r="D91" s="2" t="s">
        <v>222</v>
      </c>
      <c r="E91" s="2" t="s">
        <v>36</v>
      </c>
      <c r="F91" s="2" t="s">
        <v>260</v>
      </c>
      <c r="G91" s="2" t="s">
        <v>60</v>
      </c>
      <c r="H91" s="2" t="s">
        <v>58</v>
      </c>
      <c r="I91" s="5"/>
      <c r="J91" s="2" t="s">
        <v>255</v>
      </c>
      <c r="K91" s="2" t="s">
        <v>224</v>
      </c>
      <c r="L91" s="2"/>
      <c r="M91" s="2" t="s">
        <v>256</v>
      </c>
      <c r="N91" s="5"/>
      <c r="O91" s="2" t="s">
        <v>208</v>
      </c>
    </row>
    <row r="92" spans="1:15" ht="28.8" x14ac:dyDescent="0.3">
      <c r="A92" s="2" t="s">
        <v>381</v>
      </c>
      <c r="B92" s="2" t="s">
        <v>103</v>
      </c>
      <c r="C92" s="2" t="s">
        <v>104</v>
      </c>
      <c r="D92" s="2" t="s">
        <v>203</v>
      </c>
      <c r="E92" s="2" t="s">
        <v>19</v>
      </c>
      <c r="F92" s="2" t="s">
        <v>204</v>
      </c>
      <c r="G92" s="2" t="s">
        <v>60</v>
      </c>
      <c r="H92" s="2" t="s">
        <v>60</v>
      </c>
      <c r="I92" s="5">
        <v>46138</v>
      </c>
      <c r="J92" s="2" t="s">
        <v>205</v>
      </c>
      <c r="K92" s="2" t="s">
        <v>206</v>
      </c>
      <c r="L92" s="2" t="s">
        <v>382</v>
      </c>
      <c r="M92" s="2"/>
      <c r="N92" s="5">
        <v>46146</v>
      </c>
      <c r="O92" s="2" t="s">
        <v>208</v>
      </c>
    </row>
    <row r="93" spans="1:15" ht="28.8" x14ac:dyDescent="0.3">
      <c r="A93" s="2" t="s">
        <v>383</v>
      </c>
      <c r="B93" s="2" t="s">
        <v>103</v>
      </c>
      <c r="C93" s="2" t="s">
        <v>104</v>
      </c>
      <c r="D93" s="2" t="s">
        <v>203</v>
      </c>
      <c r="E93" s="2" t="s">
        <v>20</v>
      </c>
      <c r="F93" s="2" t="s">
        <v>210</v>
      </c>
      <c r="G93" s="2" t="s">
        <v>60</v>
      </c>
      <c r="H93" s="2" t="s">
        <v>60</v>
      </c>
      <c r="I93" s="5">
        <v>46138</v>
      </c>
      <c r="J93" s="2" t="s">
        <v>205</v>
      </c>
      <c r="K93" s="2" t="s">
        <v>206</v>
      </c>
      <c r="L93" s="2" t="s">
        <v>384</v>
      </c>
      <c r="M93" s="2"/>
      <c r="N93" s="5">
        <v>46146</v>
      </c>
      <c r="O93" s="2" t="s">
        <v>208</v>
      </c>
    </row>
    <row r="94" spans="1:15" ht="28.8" x14ac:dyDescent="0.3">
      <c r="A94" s="2" t="s">
        <v>385</v>
      </c>
      <c r="B94" s="2" t="s">
        <v>103</v>
      </c>
      <c r="C94" s="2" t="s">
        <v>104</v>
      </c>
      <c r="D94" s="2" t="s">
        <v>203</v>
      </c>
      <c r="E94" s="2" t="s">
        <v>21</v>
      </c>
      <c r="F94" s="2" t="s">
        <v>213</v>
      </c>
      <c r="G94" s="2" t="s">
        <v>60</v>
      </c>
      <c r="H94" s="2" t="s">
        <v>60</v>
      </c>
      <c r="I94" s="5">
        <v>46138</v>
      </c>
      <c r="J94" s="2" t="s">
        <v>266</v>
      </c>
      <c r="K94" s="2" t="s">
        <v>206</v>
      </c>
      <c r="L94" s="2" t="s">
        <v>386</v>
      </c>
      <c r="M94" s="2"/>
      <c r="N94" s="5"/>
      <c r="O94" s="2" t="s">
        <v>208</v>
      </c>
    </row>
    <row r="95" spans="1:15" ht="28.8" x14ac:dyDescent="0.3">
      <c r="A95" s="2" t="s">
        <v>387</v>
      </c>
      <c r="B95" s="2" t="s">
        <v>103</v>
      </c>
      <c r="C95" s="2" t="s">
        <v>104</v>
      </c>
      <c r="D95" s="2" t="s">
        <v>203</v>
      </c>
      <c r="E95" s="2" t="s">
        <v>22</v>
      </c>
      <c r="F95" s="2" t="s">
        <v>216</v>
      </c>
      <c r="G95" s="2" t="s">
        <v>60</v>
      </c>
      <c r="H95" s="2" t="s">
        <v>60</v>
      </c>
      <c r="I95" s="5">
        <v>46138</v>
      </c>
      <c r="J95" s="2" t="s">
        <v>205</v>
      </c>
      <c r="K95" s="2" t="s">
        <v>206</v>
      </c>
      <c r="L95" s="2" t="s">
        <v>388</v>
      </c>
      <c r="M95" s="2"/>
      <c r="N95" s="5">
        <v>46146</v>
      </c>
      <c r="O95" s="2" t="s">
        <v>208</v>
      </c>
    </row>
    <row r="96" spans="1:15" ht="28.8" x14ac:dyDescent="0.3">
      <c r="A96" s="2" t="s">
        <v>389</v>
      </c>
      <c r="B96" s="2" t="s">
        <v>103</v>
      </c>
      <c r="C96" s="2" t="s">
        <v>104</v>
      </c>
      <c r="D96" s="2" t="s">
        <v>203</v>
      </c>
      <c r="E96" s="2" t="s">
        <v>23</v>
      </c>
      <c r="F96" s="2" t="s">
        <v>219</v>
      </c>
      <c r="G96" s="2" t="s">
        <v>60</v>
      </c>
      <c r="H96" s="2" t="s">
        <v>58</v>
      </c>
      <c r="I96" s="5"/>
      <c r="J96" s="2" t="s">
        <v>255</v>
      </c>
      <c r="K96" s="2" t="s">
        <v>206</v>
      </c>
      <c r="L96" s="2"/>
      <c r="M96" s="2" t="s">
        <v>256</v>
      </c>
      <c r="N96" s="5"/>
      <c r="O96" s="2" t="s">
        <v>208</v>
      </c>
    </row>
    <row r="97" spans="1:15" ht="28.8" x14ac:dyDescent="0.3">
      <c r="A97" s="2" t="s">
        <v>390</v>
      </c>
      <c r="B97" s="2" t="s">
        <v>103</v>
      </c>
      <c r="C97" s="2" t="s">
        <v>104</v>
      </c>
      <c r="D97" s="2" t="s">
        <v>222</v>
      </c>
      <c r="E97" s="2" t="s">
        <v>24</v>
      </c>
      <c r="F97" s="2" t="s">
        <v>223</v>
      </c>
      <c r="G97" s="2" t="s">
        <v>60</v>
      </c>
      <c r="H97" s="2" t="s">
        <v>60</v>
      </c>
      <c r="I97" s="5">
        <v>46138</v>
      </c>
      <c r="J97" s="2" t="s">
        <v>266</v>
      </c>
      <c r="K97" s="2" t="s">
        <v>224</v>
      </c>
      <c r="L97" s="2" t="s">
        <v>391</v>
      </c>
      <c r="M97" s="2"/>
      <c r="N97" s="5"/>
      <c r="O97" s="2" t="s">
        <v>208</v>
      </c>
    </row>
    <row r="98" spans="1:15" ht="28.8" x14ac:dyDescent="0.3">
      <c r="A98" s="2" t="s">
        <v>392</v>
      </c>
      <c r="B98" s="2" t="s">
        <v>103</v>
      </c>
      <c r="C98" s="2" t="s">
        <v>104</v>
      </c>
      <c r="D98" s="2" t="s">
        <v>222</v>
      </c>
      <c r="E98" s="2" t="s">
        <v>25</v>
      </c>
      <c r="F98" s="2" t="s">
        <v>227</v>
      </c>
      <c r="G98" s="2" t="s">
        <v>60</v>
      </c>
      <c r="H98" s="2" t="s">
        <v>60</v>
      </c>
      <c r="I98" s="5">
        <v>46138</v>
      </c>
      <c r="J98" s="2" t="s">
        <v>205</v>
      </c>
      <c r="K98" s="2" t="s">
        <v>224</v>
      </c>
      <c r="L98" s="2" t="s">
        <v>393</v>
      </c>
      <c r="M98" s="2"/>
      <c r="N98" s="5">
        <v>46146</v>
      </c>
      <c r="O98" s="2" t="s">
        <v>208</v>
      </c>
    </row>
    <row r="99" spans="1:15" ht="28.8" x14ac:dyDescent="0.3">
      <c r="A99" s="2" t="s">
        <v>394</v>
      </c>
      <c r="B99" s="2" t="s">
        <v>103</v>
      </c>
      <c r="C99" s="2" t="s">
        <v>104</v>
      </c>
      <c r="D99" s="2" t="s">
        <v>222</v>
      </c>
      <c r="E99" s="2" t="s">
        <v>26</v>
      </c>
      <c r="F99" s="2" t="s">
        <v>230</v>
      </c>
      <c r="G99" s="2" t="s">
        <v>60</v>
      </c>
      <c r="H99" s="2" t="s">
        <v>60</v>
      </c>
      <c r="I99" s="5">
        <v>46138</v>
      </c>
      <c r="J99" s="2" t="s">
        <v>205</v>
      </c>
      <c r="K99" s="2" t="s">
        <v>224</v>
      </c>
      <c r="L99" s="2" t="s">
        <v>395</v>
      </c>
      <c r="M99" s="2"/>
      <c r="N99" s="5">
        <v>46146</v>
      </c>
      <c r="O99" s="2" t="s">
        <v>208</v>
      </c>
    </row>
    <row r="100" spans="1:15" ht="28.8" x14ac:dyDescent="0.3">
      <c r="A100" s="2" t="s">
        <v>396</v>
      </c>
      <c r="B100" s="2" t="s">
        <v>103</v>
      </c>
      <c r="C100" s="2" t="s">
        <v>104</v>
      </c>
      <c r="D100" s="2" t="s">
        <v>222</v>
      </c>
      <c r="E100" s="2" t="s">
        <v>27</v>
      </c>
      <c r="F100" s="2" t="s">
        <v>233</v>
      </c>
      <c r="G100" s="2" t="s">
        <v>60</v>
      </c>
      <c r="H100" s="2" t="s">
        <v>60</v>
      </c>
      <c r="I100" s="5">
        <v>46138</v>
      </c>
      <c r="J100" s="2" t="s">
        <v>266</v>
      </c>
      <c r="K100" s="2" t="s">
        <v>224</v>
      </c>
      <c r="L100" s="2" t="s">
        <v>397</v>
      </c>
      <c r="M100" s="2"/>
      <c r="N100" s="5"/>
      <c r="O100" s="2" t="s">
        <v>208</v>
      </c>
    </row>
    <row r="101" spans="1:15" ht="28.8" x14ac:dyDescent="0.3">
      <c r="A101" s="2" t="s">
        <v>398</v>
      </c>
      <c r="B101" s="2" t="s">
        <v>103</v>
      </c>
      <c r="C101" s="2" t="s">
        <v>104</v>
      </c>
      <c r="D101" s="2" t="s">
        <v>222</v>
      </c>
      <c r="E101" s="2" t="s">
        <v>28</v>
      </c>
      <c r="F101" s="2" t="s">
        <v>236</v>
      </c>
      <c r="G101" s="2" t="s">
        <v>60</v>
      </c>
      <c r="H101" s="2" t="s">
        <v>58</v>
      </c>
      <c r="I101" s="5"/>
      <c r="J101" s="2" t="s">
        <v>255</v>
      </c>
      <c r="K101" s="2" t="s">
        <v>224</v>
      </c>
      <c r="L101" s="2"/>
      <c r="M101" s="2" t="s">
        <v>256</v>
      </c>
      <c r="N101" s="5"/>
      <c r="O101" s="2" t="s">
        <v>208</v>
      </c>
    </row>
    <row r="102" spans="1:15" ht="28.8" x14ac:dyDescent="0.3">
      <c r="A102" s="2" t="s">
        <v>399</v>
      </c>
      <c r="B102" s="2" t="s">
        <v>103</v>
      </c>
      <c r="C102" s="2" t="s">
        <v>104</v>
      </c>
      <c r="D102" s="2" t="s">
        <v>222</v>
      </c>
      <c r="E102" s="2" t="s">
        <v>29</v>
      </c>
      <c r="F102" s="2" t="s">
        <v>239</v>
      </c>
      <c r="G102" s="2" t="s">
        <v>60</v>
      </c>
      <c r="H102" s="2" t="s">
        <v>58</v>
      </c>
      <c r="I102" s="5"/>
      <c r="J102" s="2" t="s">
        <v>255</v>
      </c>
      <c r="K102" s="2" t="s">
        <v>224</v>
      </c>
      <c r="L102" s="2"/>
      <c r="M102" s="2" t="s">
        <v>256</v>
      </c>
      <c r="N102" s="5"/>
      <c r="O102" s="2" t="s">
        <v>208</v>
      </c>
    </row>
    <row r="103" spans="1:15" ht="28.8" x14ac:dyDescent="0.3">
      <c r="A103" s="2" t="s">
        <v>400</v>
      </c>
      <c r="B103" s="2" t="s">
        <v>103</v>
      </c>
      <c r="C103" s="2" t="s">
        <v>104</v>
      </c>
      <c r="D103" s="2" t="s">
        <v>222</v>
      </c>
      <c r="E103" s="2" t="s">
        <v>30</v>
      </c>
      <c r="F103" s="2" t="s">
        <v>242</v>
      </c>
      <c r="G103" s="2" t="s">
        <v>60</v>
      </c>
      <c r="H103" s="2" t="s">
        <v>58</v>
      </c>
      <c r="I103" s="5"/>
      <c r="J103" s="2" t="s">
        <v>255</v>
      </c>
      <c r="K103" s="2" t="s">
        <v>224</v>
      </c>
      <c r="L103" s="2"/>
      <c r="M103" s="2" t="s">
        <v>256</v>
      </c>
      <c r="N103" s="5"/>
      <c r="O103" s="2" t="s">
        <v>208</v>
      </c>
    </row>
    <row r="104" spans="1:15" ht="28.8" x14ac:dyDescent="0.3">
      <c r="A104" s="2" t="s">
        <v>401</v>
      </c>
      <c r="B104" s="2" t="s">
        <v>103</v>
      </c>
      <c r="C104" s="2" t="s">
        <v>104</v>
      </c>
      <c r="D104" s="2" t="s">
        <v>222</v>
      </c>
      <c r="E104" s="2" t="s">
        <v>31</v>
      </c>
      <c r="F104" s="2" t="s">
        <v>245</v>
      </c>
      <c r="G104" s="2" t="s">
        <v>60</v>
      </c>
      <c r="H104" s="2" t="s">
        <v>58</v>
      </c>
      <c r="I104" s="5"/>
      <c r="J104" s="2" t="s">
        <v>255</v>
      </c>
      <c r="K104" s="2" t="s">
        <v>224</v>
      </c>
      <c r="L104" s="2"/>
      <c r="M104" s="2" t="s">
        <v>256</v>
      </c>
      <c r="N104" s="5"/>
      <c r="O104" s="2" t="s">
        <v>208</v>
      </c>
    </row>
    <row r="105" spans="1:15" ht="28.8" x14ac:dyDescent="0.3">
      <c r="A105" s="2" t="s">
        <v>402</v>
      </c>
      <c r="B105" s="2" t="s">
        <v>103</v>
      </c>
      <c r="C105" s="2" t="s">
        <v>104</v>
      </c>
      <c r="D105" s="2" t="s">
        <v>222</v>
      </c>
      <c r="E105" s="2" t="s">
        <v>32</v>
      </c>
      <c r="F105" s="2" t="s">
        <v>248</v>
      </c>
      <c r="G105" s="2" t="s">
        <v>60</v>
      </c>
      <c r="H105" s="2" t="s">
        <v>58</v>
      </c>
      <c r="I105" s="5"/>
      <c r="J105" s="2" t="s">
        <v>255</v>
      </c>
      <c r="K105" s="2" t="s">
        <v>224</v>
      </c>
      <c r="L105" s="2"/>
      <c r="M105" s="2" t="s">
        <v>256</v>
      </c>
      <c r="N105" s="5"/>
      <c r="O105" s="2" t="s">
        <v>208</v>
      </c>
    </row>
    <row r="106" spans="1:15" ht="28.8" x14ac:dyDescent="0.3">
      <c r="A106" s="2" t="s">
        <v>403</v>
      </c>
      <c r="B106" s="2" t="s">
        <v>103</v>
      </c>
      <c r="C106" s="2" t="s">
        <v>104</v>
      </c>
      <c r="D106" s="2" t="s">
        <v>222</v>
      </c>
      <c r="E106" s="2" t="s">
        <v>33</v>
      </c>
      <c r="F106" s="2" t="s">
        <v>251</v>
      </c>
      <c r="G106" s="2" t="s">
        <v>60</v>
      </c>
      <c r="H106" s="2" t="s">
        <v>58</v>
      </c>
      <c r="I106" s="5"/>
      <c r="J106" s="2" t="s">
        <v>255</v>
      </c>
      <c r="K106" s="2" t="s">
        <v>224</v>
      </c>
      <c r="L106" s="2"/>
      <c r="M106" s="2" t="s">
        <v>256</v>
      </c>
      <c r="N106" s="5"/>
      <c r="O106" s="2" t="s">
        <v>208</v>
      </c>
    </row>
    <row r="107" spans="1:15" ht="28.8" x14ac:dyDescent="0.3">
      <c r="A107" s="2" t="s">
        <v>404</v>
      </c>
      <c r="B107" s="2" t="s">
        <v>103</v>
      </c>
      <c r="C107" s="2" t="s">
        <v>104</v>
      </c>
      <c r="D107" s="2" t="s">
        <v>222</v>
      </c>
      <c r="E107" s="2" t="s">
        <v>34</v>
      </c>
      <c r="F107" s="2" t="s">
        <v>254</v>
      </c>
      <c r="G107" s="2" t="s">
        <v>60</v>
      </c>
      <c r="H107" s="2" t="s">
        <v>58</v>
      </c>
      <c r="I107" s="5"/>
      <c r="J107" s="2" t="s">
        <v>255</v>
      </c>
      <c r="K107" s="2" t="s">
        <v>224</v>
      </c>
      <c r="L107" s="2"/>
      <c r="M107" s="2" t="s">
        <v>256</v>
      </c>
      <c r="N107" s="5"/>
      <c r="O107" s="2" t="s">
        <v>208</v>
      </c>
    </row>
    <row r="108" spans="1:15" ht="28.8" x14ac:dyDescent="0.3">
      <c r="A108" s="2" t="s">
        <v>405</v>
      </c>
      <c r="B108" s="2" t="s">
        <v>103</v>
      </c>
      <c r="C108" s="2" t="s">
        <v>104</v>
      </c>
      <c r="D108" s="2" t="s">
        <v>222</v>
      </c>
      <c r="E108" s="2" t="s">
        <v>35</v>
      </c>
      <c r="F108" s="2" t="s">
        <v>258</v>
      </c>
      <c r="G108" s="2" t="s">
        <v>60</v>
      </c>
      <c r="H108" s="2" t="s">
        <v>58</v>
      </c>
      <c r="I108" s="5"/>
      <c r="J108" s="2" t="s">
        <v>255</v>
      </c>
      <c r="K108" s="2" t="s">
        <v>224</v>
      </c>
      <c r="L108" s="2"/>
      <c r="M108" s="2" t="s">
        <v>256</v>
      </c>
      <c r="N108" s="5"/>
      <c r="O108" s="2" t="s">
        <v>208</v>
      </c>
    </row>
    <row r="109" spans="1:15" ht="28.8" x14ac:dyDescent="0.3">
      <c r="A109" s="2" t="s">
        <v>406</v>
      </c>
      <c r="B109" s="2" t="s">
        <v>103</v>
      </c>
      <c r="C109" s="2" t="s">
        <v>104</v>
      </c>
      <c r="D109" s="2" t="s">
        <v>222</v>
      </c>
      <c r="E109" s="2" t="s">
        <v>36</v>
      </c>
      <c r="F109" s="2" t="s">
        <v>260</v>
      </c>
      <c r="G109" s="2" t="s">
        <v>60</v>
      </c>
      <c r="H109" s="2" t="s">
        <v>58</v>
      </c>
      <c r="I109" s="5"/>
      <c r="J109" s="2" t="s">
        <v>255</v>
      </c>
      <c r="K109" s="2" t="s">
        <v>224</v>
      </c>
      <c r="L109" s="2"/>
      <c r="M109" s="2" t="s">
        <v>256</v>
      </c>
      <c r="N109" s="5"/>
      <c r="O109" s="2" t="s">
        <v>208</v>
      </c>
    </row>
    <row r="110" spans="1:15" ht="28.8" x14ac:dyDescent="0.3">
      <c r="A110" s="2" t="s">
        <v>407</v>
      </c>
      <c r="B110" s="2" t="s">
        <v>113</v>
      </c>
      <c r="C110" s="2" t="s">
        <v>114</v>
      </c>
      <c r="D110" s="2" t="s">
        <v>203</v>
      </c>
      <c r="E110" s="2" t="s">
        <v>19</v>
      </c>
      <c r="F110" s="2" t="s">
        <v>204</v>
      </c>
      <c r="G110" s="2" t="s">
        <v>60</v>
      </c>
      <c r="H110" s="2" t="s">
        <v>60</v>
      </c>
      <c r="I110" s="5">
        <v>46139</v>
      </c>
      <c r="J110" s="2" t="s">
        <v>205</v>
      </c>
      <c r="K110" s="2" t="s">
        <v>206</v>
      </c>
      <c r="L110" s="2" t="s">
        <v>408</v>
      </c>
      <c r="M110" s="2"/>
      <c r="N110" s="5">
        <v>46146</v>
      </c>
      <c r="O110" s="2" t="s">
        <v>208</v>
      </c>
    </row>
    <row r="111" spans="1:15" ht="28.8" x14ac:dyDescent="0.3">
      <c r="A111" s="2" t="s">
        <v>409</v>
      </c>
      <c r="B111" s="2" t="s">
        <v>113</v>
      </c>
      <c r="C111" s="2" t="s">
        <v>114</v>
      </c>
      <c r="D111" s="2" t="s">
        <v>203</v>
      </c>
      <c r="E111" s="2" t="s">
        <v>20</v>
      </c>
      <c r="F111" s="2" t="s">
        <v>210</v>
      </c>
      <c r="G111" s="2" t="s">
        <v>60</v>
      </c>
      <c r="H111" s="2" t="s">
        <v>60</v>
      </c>
      <c r="I111" s="5">
        <v>46139</v>
      </c>
      <c r="J111" s="2" t="s">
        <v>205</v>
      </c>
      <c r="K111" s="2" t="s">
        <v>206</v>
      </c>
      <c r="L111" s="2" t="s">
        <v>410</v>
      </c>
      <c r="M111" s="2"/>
      <c r="N111" s="5">
        <v>46146</v>
      </c>
      <c r="O111" s="2" t="s">
        <v>208</v>
      </c>
    </row>
    <row r="112" spans="1:15" ht="28.8" x14ac:dyDescent="0.3">
      <c r="A112" s="2" t="s">
        <v>411</v>
      </c>
      <c r="B112" s="2" t="s">
        <v>113</v>
      </c>
      <c r="C112" s="2" t="s">
        <v>114</v>
      </c>
      <c r="D112" s="2" t="s">
        <v>203</v>
      </c>
      <c r="E112" s="2" t="s">
        <v>21</v>
      </c>
      <c r="F112" s="2" t="s">
        <v>213</v>
      </c>
      <c r="G112" s="2" t="s">
        <v>60</v>
      </c>
      <c r="H112" s="2" t="s">
        <v>60</v>
      </c>
      <c r="I112" s="5">
        <v>46139</v>
      </c>
      <c r="J112" s="2" t="s">
        <v>205</v>
      </c>
      <c r="K112" s="2" t="s">
        <v>206</v>
      </c>
      <c r="L112" s="2" t="s">
        <v>412</v>
      </c>
      <c r="M112" s="2"/>
      <c r="N112" s="5">
        <v>46146</v>
      </c>
      <c r="O112" s="2" t="s">
        <v>208</v>
      </c>
    </row>
    <row r="113" spans="1:15" ht="28.8" x14ac:dyDescent="0.3">
      <c r="A113" s="2" t="s">
        <v>413</v>
      </c>
      <c r="B113" s="2" t="s">
        <v>113</v>
      </c>
      <c r="C113" s="2" t="s">
        <v>114</v>
      </c>
      <c r="D113" s="2" t="s">
        <v>203</v>
      </c>
      <c r="E113" s="2" t="s">
        <v>22</v>
      </c>
      <c r="F113" s="2" t="s">
        <v>216</v>
      </c>
      <c r="G113" s="2" t="s">
        <v>60</v>
      </c>
      <c r="H113" s="2" t="s">
        <v>60</v>
      </c>
      <c r="I113" s="5">
        <v>46139</v>
      </c>
      <c r="J113" s="2" t="s">
        <v>300</v>
      </c>
      <c r="K113" s="2" t="s">
        <v>206</v>
      </c>
      <c r="L113" s="2" t="s">
        <v>414</v>
      </c>
      <c r="M113" s="2" t="s">
        <v>302</v>
      </c>
      <c r="N113" s="5"/>
      <c r="O113" s="2" t="s">
        <v>208</v>
      </c>
    </row>
    <row r="114" spans="1:15" ht="28.8" x14ac:dyDescent="0.3">
      <c r="A114" s="2" t="s">
        <v>415</v>
      </c>
      <c r="B114" s="2" t="s">
        <v>113</v>
      </c>
      <c r="C114" s="2" t="s">
        <v>114</v>
      </c>
      <c r="D114" s="2" t="s">
        <v>203</v>
      </c>
      <c r="E114" s="2" t="s">
        <v>23</v>
      </c>
      <c r="F114" s="2" t="s">
        <v>219</v>
      </c>
      <c r="G114" s="2" t="s">
        <v>60</v>
      </c>
      <c r="H114" s="2" t="s">
        <v>58</v>
      </c>
      <c r="I114" s="5"/>
      <c r="J114" s="2" t="s">
        <v>255</v>
      </c>
      <c r="K114" s="2" t="s">
        <v>206</v>
      </c>
      <c r="L114" s="2"/>
      <c r="M114" s="2" t="s">
        <v>256</v>
      </c>
      <c r="N114" s="5"/>
      <c r="O114" s="2" t="s">
        <v>208</v>
      </c>
    </row>
    <row r="115" spans="1:15" ht="28.8" x14ac:dyDescent="0.3">
      <c r="A115" s="2" t="s">
        <v>416</v>
      </c>
      <c r="B115" s="2" t="s">
        <v>113</v>
      </c>
      <c r="C115" s="2" t="s">
        <v>114</v>
      </c>
      <c r="D115" s="2" t="s">
        <v>222</v>
      </c>
      <c r="E115" s="2" t="s">
        <v>24</v>
      </c>
      <c r="F115" s="2" t="s">
        <v>223</v>
      </c>
      <c r="G115" s="2" t="s">
        <v>60</v>
      </c>
      <c r="H115" s="2" t="s">
        <v>60</v>
      </c>
      <c r="I115" s="5">
        <v>46139</v>
      </c>
      <c r="J115" s="2" t="s">
        <v>205</v>
      </c>
      <c r="K115" s="2" t="s">
        <v>224</v>
      </c>
      <c r="L115" s="2" t="s">
        <v>417</v>
      </c>
      <c r="M115" s="2"/>
      <c r="N115" s="5">
        <v>46146</v>
      </c>
      <c r="O115" s="2" t="s">
        <v>208</v>
      </c>
    </row>
    <row r="116" spans="1:15" ht="28.8" x14ac:dyDescent="0.3">
      <c r="A116" s="2" t="s">
        <v>418</v>
      </c>
      <c r="B116" s="2" t="s">
        <v>113</v>
      </c>
      <c r="C116" s="2" t="s">
        <v>114</v>
      </c>
      <c r="D116" s="2" t="s">
        <v>222</v>
      </c>
      <c r="E116" s="2" t="s">
        <v>25</v>
      </c>
      <c r="F116" s="2" t="s">
        <v>227</v>
      </c>
      <c r="G116" s="2" t="s">
        <v>60</v>
      </c>
      <c r="H116" s="2" t="s">
        <v>60</v>
      </c>
      <c r="I116" s="5">
        <v>46139</v>
      </c>
      <c r="J116" s="2" t="s">
        <v>205</v>
      </c>
      <c r="K116" s="2" t="s">
        <v>224</v>
      </c>
      <c r="L116" s="2" t="s">
        <v>419</v>
      </c>
      <c r="M116" s="2"/>
      <c r="N116" s="5">
        <v>46146</v>
      </c>
      <c r="O116" s="2" t="s">
        <v>208</v>
      </c>
    </row>
    <row r="117" spans="1:15" ht="28.8" x14ac:dyDescent="0.3">
      <c r="A117" s="2" t="s">
        <v>420</v>
      </c>
      <c r="B117" s="2" t="s">
        <v>113</v>
      </c>
      <c r="C117" s="2" t="s">
        <v>114</v>
      </c>
      <c r="D117" s="2" t="s">
        <v>222</v>
      </c>
      <c r="E117" s="2" t="s">
        <v>26</v>
      </c>
      <c r="F117" s="2" t="s">
        <v>230</v>
      </c>
      <c r="G117" s="2" t="s">
        <v>60</v>
      </c>
      <c r="H117" s="2" t="s">
        <v>60</v>
      </c>
      <c r="I117" s="5">
        <v>46139</v>
      </c>
      <c r="J117" s="2" t="s">
        <v>300</v>
      </c>
      <c r="K117" s="2" t="s">
        <v>224</v>
      </c>
      <c r="L117" s="2" t="s">
        <v>421</v>
      </c>
      <c r="M117" s="2" t="s">
        <v>302</v>
      </c>
      <c r="N117" s="5"/>
      <c r="O117" s="2" t="s">
        <v>208</v>
      </c>
    </row>
    <row r="118" spans="1:15" ht="28.8" x14ac:dyDescent="0.3">
      <c r="A118" s="2" t="s">
        <v>422</v>
      </c>
      <c r="B118" s="2" t="s">
        <v>113</v>
      </c>
      <c r="C118" s="2" t="s">
        <v>114</v>
      </c>
      <c r="D118" s="2" t="s">
        <v>222</v>
      </c>
      <c r="E118" s="2" t="s">
        <v>27</v>
      </c>
      <c r="F118" s="2" t="s">
        <v>233</v>
      </c>
      <c r="G118" s="2" t="s">
        <v>60</v>
      </c>
      <c r="H118" s="2" t="s">
        <v>60</v>
      </c>
      <c r="I118" s="5">
        <v>46139</v>
      </c>
      <c r="J118" s="2" t="s">
        <v>205</v>
      </c>
      <c r="K118" s="2" t="s">
        <v>224</v>
      </c>
      <c r="L118" s="2" t="s">
        <v>423</v>
      </c>
      <c r="M118" s="2"/>
      <c r="N118" s="5">
        <v>46146</v>
      </c>
      <c r="O118" s="2" t="s">
        <v>208</v>
      </c>
    </row>
    <row r="119" spans="1:15" ht="28.8" x14ac:dyDescent="0.3">
      <c r="A119" s="2" t="s">
        <v>424</v>
      </c>
      <c r="B119" s="2" t="s">
        <v>113</v>
      </c>
      <c r="C119" s="2" t="s">
        <v>114</v>
      </c>
      <c r="D119" s="2" t="s">
        <v>222</v>
      </c>
      <c r="E119" s="2" t="s">
        <v>28</v>
      </c>
      <c r="F119" s="2" t="s">
        <v>236</v>
      </c>
      <c r="G119" s="2" t="s">
        <v>60</v>
      </c>
      <c r="H119" s="2" t="s">
        <v>60</v>
      </c>
      <c r="I119" s="5">
        <v>46139</v>
      </c>
      <c r="J119" s="2" t="s">
        <v>205</v>
      </c>
      <c r="K119" s="2" t="s">
        <v>224</v>
      </c>
      <c r="L119" s="2" t="s">
        <v>425</v>
      </c>
      <c r="M119" s="2"/>
      <c r="N119" s="5">
        <v>46146</v>
      </c>
      <c r="O119" s="2" t="s">
        <v>208</v>
      </c>
    </row>
    <row r="120" spans="1:15" ht="28.8" x14ac:dyDescent="0.3">
      <c r="A120" s="2" t="s">
        <v>426</v>
      </c>
      <c r="B120" s="2" t="s">
        <v>113</v>
      </c>
      <c r="C120" s="2" t="s">
        <v>114</v>
      </c>
      <c r="D120" s="2" t="s">
        <v>222</v>
      </c>
      <c r="E120" s="2" t="s">
        <v>29</v>
      </c>
      <c r="F120" s="2" t="s">
        <v>239</v>
      </c>
      <c r="G120" s="2" t="s">
        <v>60</v>
      </c>
      <c r="H120" s="2" t="s">
        <v>58</v>
      </c>
      <c r="I120" s="5"/>
      <c r="J120" s="2" t="s">
        <v>255</v>
      </c>
      <c r="K120" s="2" t="s">
        <v>224</v>
      </c>
      <c r="L120" s="2"/>
      <c r="M120" s="2" t="s">
        <v>256</v>
      </c>
      <c r="N120" s="5"/>
      <c r="O120" s="2" t="s">
        <v>208</v>
      </c>
    </row>
    <row r="121" spans="1:15" ht="28.8" x14ac:dyDescent="0.3">
      <c r="A121" s="2" t="s">
        <v>427</v>
      </c>
      <c r="B121" s="2" t="s">
        <v>113</v>
      </c>
      <c r="C121" s="2" t="s">
        <v>114</v>
      </c>
      <c r="D121" s="2" t="s">
        <v>222</v>
      </c>
      <c r="E121" s="2" t="s">
        <v>30</v>
      </c>
      <c r="F121" s="2" t="s">
        <v>242</v>
      </c>
      <c r="G121" s="2" t="s">
        <v>60</v>
      </c>
      <c r="H121" s="2" t="s">
        <v>58</v>
      </c>
      <c r="I121" s="5"/>
      <c r="J121" s="2" t="s">
        <v>255</v>
      </c>
      <c r="K121" s="2" t="s">
        <v>224</v>
      </c>
      <c r="L121" s="2"/>
      <c r="M121" s="2" t="s">
        <v>256</v>
      </c>
      <c r="N121" s="5"/>
      <c r="O121" s="2" t="s">
        <v>208</v>
      </c>
    </row>
    <row r="122" spans="1:15" ht="28.8" x14ac:dyDescent="0.3">
      <c r="A122" s="2" t="s">
        <v>428</v>
      </c>
      <c r="B122" s="2" t="s">
        <v>113</v>
      </c>
      <c r="C122" s="2" t="s">
        <v>114</v>
      </c>
      <c r="D122" s="2" t="s">
        <v>222</v>
      </c>
      <c r="E122" s="2" t="s">
        <v>31</v>
      </c>
      <c r="F122" s="2" t="s">
        <v>245</v>
      </c>
      <c r="G122" s="2" t="s">
        <v>60</v>
      </c>
      <c r="H122" s="2" t="s">
        <v>58</v>
      </c>
      <c r="I122" s="5"/>
      <c r="J122" s="2" t="s">
        <v>255</v>
      </c>
      <c r="K122" s="2" t="s">
        <v>224</v>
      </c>
      <c r="L122" s="2"/>
      <c r="M122" s="2" t="s">
        <v>256</v>
      </c>
      <c r="N122" s="5"/>
      <c r="O122" s="2" t="s">
        <v>208</v>
      </c>
    </row>
    <row r="123" spans="1:15" ht="28.8" x14ac:dyDescent="0.3">
      <c r="A123" s="2" t="s">
        <v>429</v>
      </c>
      <c r="B123" s="2" t="s">
        <v>113</v>
      </c>
      <c r="C123" s="2" t="s">
        <v>114</v>
      </c>
      <c r="D123" s="2" t="s">
        <v>222</v>
      </c>
      <c r="E123" s="2" t="s">
        <v>32</v>
      </c>
      <c r="F123" s="2" t="s">
        <v>248</v>
      </c>
      <c r="G123" s="2" t="s">
        <v>60</v>
      </c>
      <c r="H123" s="2" t="s">
        <v>58</v>
      </c>
      <c r="I123" s="5"/>
      <c r="J123" s="2" t="s">
        <v>255</v>
      </c>
      <c r="K123" s="2" t="s">
        <v>224</v>
      </c>
      <c r="L123" s="2"/>
      <c r="M123" s="2" t="s">
        <v>256</v>
      </c>
      <c r="N123" s="5"/>
      <c r="O123" s="2" t="s">
        <v>208</v>
      </c>
    </row>
    <row r="124" spans="1:15" ht="28.8" x14ac:dyDescent="0.3">
      <c r="A124" s="2" t="s">
        <v>430</v>
      </c>
      <c r="B124" s="2" t="s">
        <v>113</v>
      </c>
      <c r="C124" s="2" t="s">
        <v>114</v>
      </c>
      <c r="D124" s="2" t="s">
        <v>222</v>
      </c>
      <c r="E124" s="2" t="s">
        <v>33</v>
      </c>
      <c r="F124" s="2" t="s">
        <v>251</v>
      </c>
      <c r="G124" s="2" t="s">
        <v>60</v>
      </c>
      <c r="H124" s="2" t="s">
        <v>58</v>
      </c>
      <c r="I124" s="5"/>
      <c r="J124" s="2" t="s">
        <v>255</v>
      </c>
      <c r="K124" s="2" t="s">
        <v>224</v>
      </c>
      <c r="L124" s="2"/>
      <c r="M124" s="2" t="s">
        <v>256</v>
      </c>
      <c r="N124" s="5"/>
      <c r="O124" s="2" t="s">
        <v>208</v>
      </c>
    </row>
    <row r="125" spans="1:15" ht="28.8" x14ac:dyDescent="0.3">
      <c r="A125" s="2" t="s">
        <v>431</v>
      </c>
      <c r="B125" s="2" t="s">
        <v>113</v>
      </c>
      <c r="C125" s="2" t="s">
        <v>114</v>
      </c>
      <c r="D125" s="2" t="s">
        <v>222</v>
      </c>
      <c r="E125" s="2" t="s">
        <v>34</v>
      </c>
      <c r="F125" s="2" t="s">
        <v>254</v>
      </c>
      <c r="G125" s="2" t="s">
        <v>60</v>
      </c>
      <c r="H125" s="2" t="s">
        <v>58</v>
      </c>
      <c r="I125" s="5"/>
      <c r="J125" s="2" t="s">
        <v>255</v>
      </c>
      <c r="K125" s="2" t="s">
        <v>224</v>
      </c>
      <c r="L125" s="2"/>
      <c r="M125" s="2" t="s">
        <v>256</v>
      </c>
      <c r="N125" s="5"/>
      <c r="O125" s="2" t="s">
        <v>208</v>
      </c>
    </row>
    <row r="126" spans="1:15" ht="28.8" x14ac:dyDescent="0.3">
      <c r="A126" s="2" t="s">
        <v>432</v>
      </c>
      <c r="B126" s="2" t="s">
        <v>113</v>
      </c>
      <c r="C126" s="2" t="s">
        <v>114</v>
      </c>
      <c r="D126" s="2" t="s">
        <v>222</v>
      </c>
      <c r="E126" s="2" t="s">
        <v>35</v>
      </c>
      <c r="F126" s="2" t="s">
        <v>258</v>
      </c>
      <c r="G126" s="2" t="s">
        <v>60</v>
      </c>
      <c r="H126" s="2" t="s">
        <v>58</v>
      </c>
      <c r="I126" s="5"/>
      <c r="J126" s="2" t="s">
        <v>255</v>
      </c>
      <c r="K126" s="2" t="s">
        <v>224</v>
      </c>
      <c r="L126" s="2"/>
      <c r="M126" s="2" t="s">
        <v>256</v>
      </c>
      <c r="N126" s="5"/>
      <c r="O126" s="2" t="s">
        <v>208</v>
      </c>
    </row>
    <row r="127" spans="1:15" ht="28.8" x14ac:dyDescent="0.3">
      <c r="A127" s="2" t="s">
        <v>433</v>
      </c>
      <c r="B127" s="2" t="s">
        <v>113</v>
      </c>
      <c r="C127" s="2" t="s">
        <v>114</v>
      </c>
      <c r="D127" s="2" t="s">
        <v>222</v>
      </c>
      <c r="E127" s="2" t="s">
        <v>36</v>
      </c>
      <c r="F127" s="2" t="s">
        <v>260</v>
      </c>
      <c r="G127" s="2" t="s">
        <v>60</v>
      </c>
      <c r="H127" s="2" t="s">
        <v>58</v>
      </c>
      <c r="I127" s="5"/>
      <c r="J127" s="2" t="s">
        <v>255</v>
      </c>
      <c r="K127" s="2" t="s">
        <v>224</v>
      </c>
      <c r="L127" s="2"/>
      <c r="M127" s="2" t="s">
        <v>256</v>
      </c>
      <c r="N127" s="5"/>
      <c r="O127" s="2" t="s">
        <v>208</v>
      </c>
    </row>
    <row r="128" spans="1:15" ht="28.8" x14ac:dyDescent="0.3">
      <c r="A128" s="2" t="s">
        <v>434</v>
      </c>
      <c r="B128" s="2" t="s">
        <v>113</v>
      </c>
      <c r="C128" s="2" t="s">
        <v>114</v>
      </c>
      <c r="D128" s="2" t="s">
        <v>435</v>
      </c>
      <c r="E128" s="2" t="s">
        <v>436</v>
      </c>
      <c r="F128" s="2" t="s">
        <v>437</v>
      </c>
      <c r="G128" s="2" t="s">
        <v>60</v>
      </c>
      <c r="H128" s="2" t="s">
        <v>58</v>
      </c>
      <c r="I128" s="5"/>
      <c r="J128" s="2" t="s">
        <v>255</v>
      </c>
      <c r="K128" s="2" t="s">
        <v>438</v>
      </c>
      <c r="L128" s="2"/>
      <c r="M128" s="2" t="s">
        <v>439</v>
      </c>
      <c r="N128" s="5"/>
      <c r="O128" s="2" t="s">
        <v>440</v>
      </c>
    </row>
    <row r="129" spans="1:15" ht="28.8" x14ac:dyDescent="0.3">
      <c r="A129" s="2" t="s">
        <v>441</v>
      </c>
      <c r="B129" s="2" t="s">
        <v>123</v>
      </c>
      <c r="C129" s="2" t="s">
        <v>124</v>
      </c>
      <c r="D129" s="2" t="s">
        <v>203</v>
      </c>
      <c r="E129" s="2" t="s">
        <v>19</v>
      </c>
      <c r="F129" s="2" t="s">
        <v>204</v>
      </c>
      <c r="G129" s="2" t="s">
        <v>60</v>
      </c>
      <c r="H129" s="2" t="s">
        <v>60</v>
      </c>
      <c r="I129" s="5">
        <v>46132</v>
      </c>
      <c r="J129" s="2" t="s">
        <v>205</v>
      </c>
      <c r="K129" s="2" t="s">
        <v>206</v>
      </c>
      <c r="L129" s="2" t="s">
        <v>442</v>
      </c>
      <c r="M129" s="2"/>
      <c r="N129" s="5">
        <v>46146</v>
      </c>
      <c r="O129" s="2" t="s">
        <v>208</v>
      </c>
    </row>
    <row r="130" spans="1:15" ht="28.8" x14ac:dyDescent="0.3">
      <c r="A130" s="2" t="s">
        <v>443</v>
      </c>
      <c r="B130" s="2" t="s">
        <v>123</v>
      </c>
      <c r="C130" s="2" t="s">
        <v>124</v>
      </c>
      <c r="D130" s="2" t="s">
        <v>203</v>
      </c>
      <c r="E130" s="2" t="s">
        <v>20</v>
      </c>
      <c r="F130" s="2" t="s">
        <v>210</v>
      </c>
      <c r="G130" s="2" t="s">
        <v>60</v>
      </c>
      <c r="H130" s="2" t="s">
        <v>60</v>
      </c>
      <c r="I130" s="5">
        <v>46132</v>
      </c>
      <c r="J130" s="2" t="s">
        <v>205</v>
      </c>
      <c r="K130" s="2" t="s">
        <v>206</v>
      </c>
      <c r="L130" s="2" t="s">
        <v>444</v>
      </c>
      <c r="M130" s="2"/>
      <c r="N130" s="5">
        <v>46146</v>
      </c>
      <c r="O130" s="2" t="s">
        <v>208</v>
      </c>
    </row>
    <row r="131" spans="1:15" ht="28.8" x14ac:dyDescent="0.3">
      <c r="A131" s="2" t="s">
        <v>445</v>
      </c>
      <c r="B131" s="2" t="s">
        <v>123</v>
      </c>
      <c r="C131" s="2" t="s">
        <v>124</v>
      </c>
      <c r="D131" s="2" t="s">
        <v>203</v>
      </c>
      <c r="E131" s="2" t="s">
        <v>21</v>
      </c>
      <c r="F131" s="2" t="s">
        <v>213</v>
      </c>
      <c r="G131" s="2" t="s">
        <v>60</v>
      </c>
      <c r="H131" s="2" t="s">
        <v>60</v>
      </c>
      <c r="I131" s="5">
        <v>46132</v>
      </c>
      <c r="J131" s="2" t="s">
        <v>205</v>
      </c>
      <c r="K131" s="2" t="s">
        <v>206</v>
      </c>
      <c r="L131" s="2" t="s">
        <v>446</v>
      </c>
      <c r="M131" s="2"/>
      <c r="N131" s="5">
        <v>46146</v>
      </c>
      <c r="O131" s="2" t="s">
        <v>208</v>
      </c>
    </row>
    <row r="132" spans="1:15" ht="28.8" x14ac:dyDescent="0.3">
      <c r="A132" s="2" t="s">
        <v>447</v>
      </c>
      <c r="B132" s="2" t="s">
        <v>123</v>
      </c>
      <c r="C132" s="2" t="s">
        <v>124</v>
      </c>
      <c r="D132" s="2" t="s">
        <v>203</v>
      </c>
      <c r="E132" s="2" t="s">
        <v>22</v>
      </c>
      <c r="F132" s="2" t="s">
        <v>216</v>
      </c>
      <c r="G132" s="2" t="s">
        <v>60</v>
      </c>
      <c r="H132" s="2" t="s">
        <v>60</v>
      </c>
      <c r="I132" s="5">
        <v>46132</v>
      </c>
      <c r="J132" s="2" t="s">
        <v>205</v>
      </c>
      <c r="K132" s="2" t="s">
        <v>206</v>
      </c>
      <c r="L132" s="2" t="s">
        <v>448</v>
      </c>
      <c r="M132" s="2"/>
      <c r="N132" s="5">
        <v>46146</v>
      </c>
      <c r="O132" s="2" t="s">
        <v>208</v>
      </c>
    </row>
    <row r="133" spans="1:15" ht="28.8" x14ac:dyDescent="0.3">
      <c r="A133" s="2" t="s">
        <v>449</v>
      </c>
      <c r="B133" s="2" t="s">
        <v>123</v>
      </c>
      <c r="C133" s="2" t="s">
        <v>124</v>
      </c>
      <c r="D133" s="2" t="s">
        <v>203</v>
      </c>
      <c r="E133" s="2" t="s">
        <v>23</v>
      </c>
      <c r="F133" s="2" t="s">
        <v>219</v>
      </c>
      <c r="G133" s="2" t="s">
        <v>60</v>
      </c>
      <c r="H133" s="2" t="s">
        <v>60</v>
      </c>
      <c r="I133" s="5">
        <v>46132</v>
      </c>
      <c r="J133" s="2" t="s">
        <v>205</v>
      </c>
      <c r="K133" s="2" t="s">
        <v>206</v>
      </c>
      <c r="L133" s="2" t="s">
        <v>450</v>
      </c>
      <c r="M133" s="2"/>
      <c r="N133" s="5">
        <v>46146</v>
      </c>
      <c r="O133" s="2" t="s">
        <v>208</v>
      </c>
    </row>
    <row r="134" spans="1:15" ht="28.8" x14ac:dyDescent="0.3">
      <c r="A134" s="2" t="s">
        <v>451</v>
      </c>
      <c r="B134" s="2" t="s">
        <v>123</v>
      </c>
      <c r="C134" s="2" t="s">
        <v>124</v>
      </c>
      <c r="D134" s="2" t="s">
        <v>222</v>
      </c>
      <c r="E134" s="2" t="s">
        <v>24</v>
      </c>
      <c r="F134" s="2" t="s">
        <v>223</v>
      </c>
      <c r="G134" s="2" t="s">
        <v>60</v>
      </c>
      <c r="H134" s="2" t="s">
        <v>60</v>
      </c>
      <c r="I134" s="5">
        <v>46132</v>
      </c>
      <c r="J134" s="2" t="s">
        <v>205</v>
      </c>
      <c r="K134" s="2" t="s">
        <v>224</v>
      </c>
      <c r="L134" s="2" t="s">
        <v>452</v>
      </c>
      <c r="M134" s="2"/>
      <c r="N134" s="5">
        <v>46146</v>
      </c>
      <c r="O134" s="2" t="s">
        <v>208</v>
      </c>
    </row>
    <row r="135" spans="1:15" ht="28.8" x14ac:dyDescent="0.3">
      <c r="A135" s="2" t="s">
        <v>453</v>
      </c>
      <c r="B135" s="2" t="s">
        <v>123</v>
      </c>
      <c r="C135" s="2" t="s">
        <v>124</v>
      </c>
      <c r="D135" s="2" t="s">
        <v>222</v>
      </c>
      <c r="E135" s="2" t="s">
        <v>25</v>
      </c>
      <c r="F135" s="2" t="s">
        <v>227</v>
      </c>
      <c r="G135" s="2" t="s">
        <v>60</v>
      </c>
      <c r="H135" s="2" t="s">
        <v>60</v>
      </c>
      <c r="I135" s="5">
        <v>46132</v>
      </c>
      <c r="J135" s="2" t="s">
        <v>205</v>
      </c>
      <c r="K135" s="2" t="s">
        <v>224</v>
      </c>
      <c r="L135" s="2" t="s">
        <v>454</v>
      </c>
      <c r="M135" s="2"/>
      <c r="N135" s="5">
        <v>46146</v>
      </c>
      <c r="O135" s="2" t="s">
        <v>208</v>
      </c>
    </row>
    <row r="136" spans="1:15" ht="28.8" x14ac:dyDescent="0.3">
      <c r="A136" s="2" t="s">
        <v>455</v>
      </c>
      <c r="B136" s="2" t="s">
        <v>123</v>
      </c>
      <c r="C136" s="2" t="s">
        <v>124</v>
      </c>
      <c r="D136" s="2" t="s">
        <v>222</v>
      </c>
      <c r="E136" s="2" t="s">
        <v>26</v>
      </c>
      <c r="F136" s="2" t="s">
        <v>230</v>
      </c>
      <c r="G136" s="2" t="s">
        <v>60</v>
      </c>
      <c r="H136" s="2" t="s">
        <v>60</v>
      </c>
      <c r="I136" s="5">
        <v>46132</v>
      </c>
      <c r="J136" s="2" t="s">
        <v>205</v>
      </c>
      <c r="K136" s="2" t="s">
        <v>224</v>
      </c>
      <c r="L136" s="2" t="s">
        <v>456</v>
      </c>
      <c r="M136" s="2"/>
      <c r="N136" s="5">
        <v>46146</v>
      </c>
      <c r="O136" s="2" t="s">
        <v>208</v>
      </c>
    </row>
    <row r="137" spans="1:15" ht="28.8" x14ac:dyDescent="0.3">
      <c r="A137" s="2" t="s">
        <v>457</v>
      </c>
      <c r="B137" s="2" t="s">
        <v>123</v>
      </c>
      <c r="C137" s="2" t="s">
        <v>124</v>
      </c>
      <c r="D137" s="2" t="s">
        <v>222</v>
      </c>
      <c r="E137" s="2" t="s">
        <v>27</v>
      </c>
      <c r="F137" s="2" t="s">
        <v>233</v>
      </c>
      <c r="G137" s="2" t="s">
        <v>60</v>
      </c>
      <c r="H137" s="2" t="s">
        <v>60</v>
      </c>
      <c r="I137" s="5">
        <v>46132</v>
      </c>
      <c r="J137" s="2" t="s">
        <v>205</v>
      </c>
      <c r="K137" s="2" t="s">
        <v>224</v>
      </c>
      <c r="L137" s="2" t="s">
        <v>458</v>
      </c>
      <c r="M137" s="2"/>
      <c r="N137" s="5">
        <v>46146</v>
      </c>
      <c r="O137" s="2" t="s">
        <v>208</v>
      </c>
    </row>
    <row r="138" spans="1:15" ht="28.8" x14ac:dyDescent="0.3">
      <c r="A138" s="2" t="s">
        <v>459</v>
      </c>
      <c r="B138" s="2" t="s">
        <v>123</v>
      </c>
      <c r="C138" s="2" t="s">
        <v>124</v>
      </c>
      <c r="D138" s="2" t="s">
        <v>222</v>
      </c>
      <c r="E138" s="2" t="s">
        <v>28</v>
      </c>
      <c r="F138" s="2" t="s">
        <v>236</v>
      </c>
      <c r="G138" s="2" t="s">
        <v>60</v>
      </c>
      <c r="H138" s="2" t="s">
        <v>60</v>
      </c>
      <c r="I138" s="5">
        <v>46132</v>
      </c>
      <c r="J138" s="2" t="s">
        <v>205</v>
      </c>
      <c r="K138" s="2" t="s">
        <v>224</v>
      </c>
      <c r="L138" s="2" t="s">
        <v>460</v>
      </c>
      <c r="M138" s="2"/>
      <c r="N138" s="5">
        <v>46146</v>
      </c>
      <c r="O138" s="2" t="s">
        <v>208</v>
      </c>
    </row>
    <row r="139" spans="1:15" ht="28.8" x14ac:dyDescent="0.3">
      <c r="A139" s="2" t="s">
        <v>461</v>
      </c>
      <c r="B139" s="2" t="s">
        <v>123</v>
      </c>
      <c r="C139" s="2" t="s">
        <v>124</v>
      </c>
      <c r="D139" s="2" t="s">
        <v>222</v>
      </c>
      <c r="E139" s="2" t="s">
        <v>29</v>
      </c>
      <c r="F139" s="2" t="s">
        <v>239</v>
      </c>
      <c r="G139" s="2" t="s">
        <v>60</v>
      </c>
      <c r="H139" s="2" t="s">
        <v>60</v>
      </c>
      <c r="I139" s="5">
        <v>46132</v>
      </c>
      <c r="J139" s="2" t="s">
        <v>205</v>
      </c>
      <c r="K139" s="2" t="s">
        <v>224</v>
      </c>
      <c r="L139" s="2" t="s">
        <v>462</v>
      </c>
      <c r="M139" s="2"/>
      <c r="N139" s="5">
        <v>46146</v>
      </c>
      <c r="O139" s="2" t="s">
        <v>208</v>
      </c>
    </row>
    <row r="140" spans="1:15" ht="28.8" x14ac:dyDescent="0.3">
      <c r="A140" s="2" t="s">
        <v>463</v>
      </c>
      <c r="B140" s="2" t="s">
        <v>123</v>
      </c>
      <c r="C140" s="2" t="s">
        <v>124</v>
      </c>
      <c r="D140" s="2" t="s">
        <v>222</v>
      </c>
      <c r="E140" s="2" t="s">
        <v>30</v>
      </c>
      <c r="F140" s="2" t="s">
        <v>242</v>
      </c>
      <c r="G140" s="2" t="s">
        <v>60</v>
      </c>
      <c r="H140" s="2" t="s">
        <v>60</v>
      </c>
      <c r="I140" s="5">
        <v>46132</v>
      </c>
      <c r="J140" s="2" t="s">
        <v>205</v>
      </c>
      <c r="K140" s="2" t="s">
        <v>224</v>
      </c>
      <c r="L140" s="2" t="s">
        <v>464</v>
      </c>
      <c r="M140" s="2"/>
      <c r="N140" s="5">
        <v>46146</v>
      </c>
      <c r="O140" s="2" t="s">
        <v>208</v>
      </c>
    </row>
    <row r="141" spans="1:15" ht="28.8" x14ac:dyDescent="0.3">
      <c r="A141" s="2" t="s">
        <v>465</v>
      </c>
      <c r="B141" s="2" t="s">
        <v>123</v>
      </c>
      <c r="C141" s="2" t="s">
        <v>124</v>
      </c>
      <c r="D141" s="2" t="s">
        <v>222</v>
      </c>
      <c r="E141" s="2" t="s">
        <v>31</v>
      </c>
      <c r="F141" s="2" t="s">
        <v>245</v>
      </c>
      <c r="G141" s="2" t="s">
        <v>60</v>
      </c>
      <c r="H141" s="2" t="s">
        <v>60</v>
      </c>
      <c r="I141" s="5">
        <v>46132</v>
      </c>
      <c r="J141" s="2" t="s">
        <v>205</v>
      </c>
      <c r="K141" s="2" t="s">
        <v>224</v>
      </c>
      <c r="L141" s="2" t="s">
        <v>466</v>
      </c>
      <c r="M141" s="2"/>
      <c r="N141" s="5">
        <v>46146</v>
      </c>
      <c r="O141" s="2" t="s">
        <v>208</v>
      </c>
    </row>
    <row r="142" spans="1:15" ht="28.8" x14ac:dyDescent="0.3">
      <c r="A142" s="2" t="s">
        <v>467</v>
      </c>
      <c r="B142" s="2" t="s">
        <v>123</v>
      </c>
      <c r="C142" s="2" t="s">
        <v>124</v>
      </c>
      <c r="D142" s="2" t="s">
        <v>222</v>
      </c>
      <c r="E142" s="2" t="s">
        <v>32</v>
      </c>
      <c r="F142" s="2" t="s">
        <v>248</v>
      </c>
      <c r="G142" s="2" t="s">
        <v>60</v>
      </c>
      <c r="H142" s="2" t="s">
        <v>60</v>
      </c>
      <c r="I142" s="5">
        <v>46132</v>
      </c>
      <c r="J142" s="2" t="s">
        <v>205</v>
      </c>
      <c r="K142" s="2" t="s">
        <v>224</v>
      </c>
      <c r="L142" s="2" t="s">
        <v>468</v>
      </c>
      <c r="M142" s="2"/>
      <c r="N142" s="5">
        <v>46146</v>
      </c>
      <c r="O142" s="2" t="s">
        <v>208</v>
      </c>
    </row>
    <row r="143" spans="1:15" ht="28.8" x14ac:dyDescent="0.3">
      <c r="A143" s="2" t="s">
        <v>469</v>
      </c>
      <c r="B143" s="2" t="s">
        <v>123</v>
      </c>
      <c r="C143" s="2" t="s">
        <v>124</v>
      </c>
      <c r="D143" s="2" t="s">
        <v>222</v>
      </c>
      <c r="E143" s="2" t="s">
        <v>33</v>
      </c>
      <c r="F143" s="2" t="s">
        <v>251</v>
      </c>
      <c r="G143" s="2" t="s">
        <v>60</v>
      </c>
      <c r="H143" s="2" t="s">
        <v>58</v>
      </c>
      <c r="I143" s="5"/>
      <c r="J143" s="2" t="s">
        <v>255</v>
      </c>
      <c r="K143" s="2" t="s">
        <v>224</v>
      </c>
      <c r="L143" s="2"/>
      <c r="M143" s="2" t="s">
        <v>256</v>
      </c>
      <c r="N143" s="5"/>
      <c r="O143" s="2" t="s">
        <v>208</v>
      </c>
    </row>
    <row r="144" spans="1:15" ht="28.8" x14ac:dyDescent="0.3">
      <c r="A144" s="2" t="s">
        <v>470</v>
      </c>
      <c r="B144" s="2" t="s">
        <v>123</v>
      </c>
      <c r="C144" s="2" t="s">
        <v>124</v>
      </c>
      <c r="D144" s="2" t="s">
        <v>222</v>
      </c>
      <c r="E144" s="2" t="s">
        <v>34</v>
      </c>
      <c r="F144" s="2" t="s">
        <v>254</v>
      </c>
      <c r="G144" s="2" t="s">
        <v>60</v>
      </c>
      <c r="H144" s="2" t="s">
        <v>58</v>
      </c>
      <c r="I144" s="5"/>
      <c r="J144" s="2" t="s">
        <v>255</v>
      </c>
      <c r="K144" s="2" t="s">
        <v>224</v>
      </c>
      <c r="L144" s="2"/>
      <c r="M144" s="2" t="s">
        <v>256</v>
      </c>
      <c r="N144" s="5"/>
      <c r="O144" s="2" t="s">
        <v>208</v>
      </c>
    </row>
    <row r="145" spans="1:15" ht="28.8" x14ac:dyDescent="0.3">
      <c r="A145" s="2" t="s">
        <v>471</v>
      </c>
      <c r="B145" s="2" t="s">
        <v>123</v>
      </c>
      <c r="C145" s="2" t="s">
        <v>124</v>
      </c>
      <c r="D145" s="2" t="s">
        <v>222</v>
      </c>
      <c r="E145" s="2" t="s">
        <v>35</v>
      </c>
      <c r="F145" s="2" t="s">
        <v>258</v>
      </c>
      <c r="G145" s="2" t="s">
        <v>60</v>
      </c>
      <c r="H145" s="2" t="s">
        <v>58</v>
      </c>
      <c r="I145" s="5"/>
      <c r="J145" s="2" t="s">
        <v>255</v>
      </c>
      <c r="K145" s="2" t="s">
        <v>224</v>
      </c>
      <c r="L145" s="2"/>
      <c r="M145" s="2" t="s">
        <v>256</v>
      </c>
      <c r="N145" s="5"/>
      <c r="O145" s="2" t="s">
        <v>208</v>
      </c>
    </row>
    <row r="146" spans="1:15" ht="28.8" x14ac:dyDescent="0.3">
      <c r="A146" s="2" t="s">
        <v>472</v>
      </c>
      <c r="B146" s="2" t="s">
        <v>123</v>
      </c>
      <c r="C146" s="2" t="s">
        <v>124</v>
      </c>
      <c r="D146" s="2" t="s">
        <v>222</v>
      </c>
      <c r="E146" s="2" t="s">
        <v>36</v>
      </c>
      <c r="F146" s="2" t="s">
        <v>260</v>
      </c>
      <c r="G146" s="2" t="s">
        <v>60</v>
      </c>
      <c r="H146" s="2" t="s">
        <v>58</v>
      </c>
      <c r="I146" s="5"/>
      <c r="J146" s="2" t="s">
        <v>255</v>
      </c>
      <c r="K146" s="2" t="s">
        <v>224</v>
      </c>
      <c r="L146" s="2"/>
      <c r="M146" s="2" t="s">
        <v>256</v>
      </c>
      <c r="N146" s="5"/>
      <c r="O146" s="2" t="s">
        <v>208</v>
      </c>
    </row>
    <row r="147" spans="1:15" ht="28.8" x14ac:dyDescent="0.3">
      <c r="A147" s="2" t="s">
        <v>473</v>
      </c>
      <c r="B147" s="2" t="s">
        <v>132</v>
      </c>
      <c r="C147" s="2" t="s">
        <v>133</v>
      </c>
      <c r="D147" s="2" t="s">
        <v>203</v>
      </c>
      <c r="E147" s="2" t="s">
        <v>19</v>
      </c>
      <c r="F147" s="2" t="s">
        <v>204</v>
      </c>
      <c r="G147" s="2" t="s">
        <v>60</v>
      </c>
      <c r="H147" s="2" t="s">
        <v>60</v>
      </c>
      <c r="I147" s="5">
        <v>46133</v>
      </c>
      <c r="J147" s="2" t="s">
        <v>205</v>
      </c>
      <c r="K147" s="2" t="s">
        <v>206</v>
      </c>
      <c r="L147" s="2" t="s">
        <v>474</v>
      </c>
      <c r="M147" s="2"/>
      <c r="N147" s="5">
        <v>46146</v>
      </c>
      <c r="O147" s="2" t="s">
        <v>208</v>
      </c>
    </row>
    <row r="148" spans="1:15" ht="28.8" x14ac:dyDescent="0.3">
      <c r="A148" s="2" t="s">
        <v>475</v>
      </c>
      <c r="B148" s="2" t="s">
        <v>132</v>
      </c>
      <c r="C148" s="2" t="s">
        <v>133</v>
      </c>
      <c r="D148" s="2" t="s">
        <v>203</v>
      </c>
      <c r="E148" s="2" t="s">
        <v>20</v>
      </c>
      <c r="F148" s="2" t="s">
        <v>210</v>
      </c>
      <c r="G148" s="2" t="s">
        <v>60</v>
      </c>
      <c r="H148" s="2" t="s">
        <v>60</v>
      </c>
      <c r="I148" s="5">
        <v>46133</v>
      </c>
      <c r="J148" s="2" t="s">
        <v>205</v>
      </c>
      <c r="K148" s="2" t="s">
        <v>206</v>
      </c>
      <c r="L148" s="2" t="s">
        <v>476</v>
      </c>
      <c r="M148" s="2"/>
      <c r="N148" s="5">
        <v>46146</v>
      </c>
      <c r="O148" s="2" t="s">
        <v>208</v>
      </c>
    </row>
    <row r="149" spans="1:15" ht="28.8" x14ac:dyDescent="0.3">
      <c r="A149" s="2" t="s">
        <v>477</v>
      </c>
      <c r="B149" s="2" t="s">
        <v>132</v>
      </c>
      <c r="C149" s="2" t="s">
        <v>133</v>
      </c>
      <c r="D149" s="2" t="s">
        <v>203</v>
      </c>
      <c r="E149" s="2" t="s">
        <v>21</v>
      </c>
      <c r="F149" s="2" t="s">
        <v>213</v>
      </c>
      <c r="G149" s="2" t="s">
        <v>60</v>
      </c>
      <c r="H149" s="2" t="s">
        <v>60</v>
      </c>
      <c r="I149" s="5">
        <v>46133</v>
      </c>
      <c r="J149" s="2" t="s">
        <v>266</v>
      </c>
      <c r="K149" s="2" t="s">
        <v>206</v>
      </c>
      <c r="L149" s="2" t="s">
        <v>478</v>
      </c>
      <c r="M149" s="2"/>
      <c r="N149" s="5"/>
      <c r="O149" s="2" t="s">
        <v>208</v>
      </c>
    </row>
    <row r="150" spans="1:15" ht="28.8" x14ac:dyDescent="0.3">
      <c r="A150" s="2" t="s">
        <v>479</v>
      </c>
      <c r="B150" s="2" t="s">
        <v>132</v>
      </c>
      <c r="C150" s="2" t="s">
        <v>133</v>
      </c>
      <c r="D150" s="2" t="s">
        <v>203</v>
      </c>
      <c r="E150" s="2" t="s">
        <v>22</v>
      </c>
      <c r="F150" s="2" t="s">
        <v>216</v>
      </c>
      <c r="G150" s="2" t="s">
        <v>60</v>
      </c>
      <c r="H150" s="2" t="s">
        <v>58</v>
      </c>
      <c r="I150" s="5"/>
      <c r="J150" s="2" t="s">
        <v>255</v>
      </c>
      <c r="K150" s="2" t="s">
        <v>206</v>
      </c>
      <c r="L150" s="2"/>
      <c r="M150" s="2" t="s">
        <v>256</v>
      </c>
      <c r="N150" s="5"/>
      <c r="O150" s="2" t="s">
        <v>208</v>
      </c>
    </row>
    <row r="151" spans="1:15" ht="28.8" x14ac:dyDescent="0.3">
      <c r="A151" s="2" t="s">
        <v>480</v>
      </c>
      <c r="B151" s="2" t="s">
        <v>132</v>
      </c>
      <c r="C151" s="2" t="s">
        <v>133</v>
      </c>
      <c r="D151" s="2" t="s">
        <v>203</v>
      </c>
      <c r="E151" s="2" t="s">
        <v>23</v>
      </c>
      <c r="F151" s="2" t="s">
        <v>219</v>
      </c>
      <c r="G151" s="2" t="s">
        <v>60</v>
      </c>
      <c r="H151" s="2" t="s">
        <v>58</v>
      </c>
      <c r="I151" s="5"/>
      <c r="J151" s="2" t="s">
        <v>255</v>
      </c>
      <c r="K151" s="2" t="s">
        <v>206</v>
      </c>
      <c r="L151" s="2"/>
      <c r="M151" s="2" t="s">
        <v>256</v>
      </c>
      <c r="N151" s="5"/>
      <c r="O151" s="2" t="s">
        <v>208</v>
      </c>
    </row>
    <row r="152" spans="1:15" ht="28.8" x14ac:dyDescent="0.3">
      <c r="A152" s="2" t="s">
        <v>481</v>
      </c>
      <c r="B152" s="2" t="s">
        <v>132</v>
      </c>
      <c r="C152" s="2" t="s">
        <v>133</v>
      </c>
      <c r="D152" s="2" t="s">
        <v>222</v>
      </c>
      <c r="E152" s="2" t="s">
        <v>24</v>
      </c>
      <c r="F152" s="2" t="s">
        <v>223</v>
      </c>
      <c r="G152" s="2" t="s">
        <v>60</v>
      </c>
      <c r="H152" s="2" t="s">
        <v>60</v>
      </c>
      <c r="I152" s="5">
        <v>46133</v>
      </c>
      <c r="J152" s="2" t="s">
        <v>266</v>
      </c>
      <c r="K152" s="2" t="s">
        <v>224</v>
      </c>
      <c r="L152" s="2" t="s">
        <v>482</v>
      </c>
      <c r="M152" s="2"/>
      <c r="N152" s="5"/>
      <c r="O152" s="2" t="s">
        <v>208</v>
      </c>
    </row>
    <row r="153" spans="1:15" ht="28.8" x14ac:dyDescent="0.3">
      <c r="A153" s="2" t="s">
        <v>483</v>
      </c>
      <c r="B153" s="2" t="s">
        <v>132</v>
      </c>
      <c r="C153" s="2" t="s">
        <v>133</v>
      </c>
      <c r="D153" s="2" t="s">
        <v>222</v>
      </c>
      <c r="E153" s="2" t="s">
        <v>25</v>
      </c>
      <c r="F153" s="2" t="s">
        <v>227</v>
      </c>
      <c r="G153" s="2" t="s">
        <v>60</v>
      </c>
      <c r="H153" s="2" t="s">
        <v>60</v>
      </c>
      <c r="I153" s="5">
        <v>46133</v>
      </c>
      <c r="J153" s="2" t="s">
        <v>205</v>
      </c>
      <c r="K153" s="2" t="s">
        <v>224</v>
      </c>
      <c r="L153" s="2" t="s">
        <v>484</v>
      </c>
      <c r="M153" s="2"/>
      <c r="N153" s="5">
        <v>46146</v>
      </c>
      <c r="O153" s="2" t="s">
        <v>208</v>
      </c>
    </row>
    <row r="154" spans="1:15" ht="28.8" x14ac:dyDescent="0.3">
      <c r="A154" s="2" t="s">
        <v>485</v>
      </c>
      <c r="B154" s="2" t="s">
        <v>132</v>
      </c>
      <c r="C154" s="2" t="s">
        <v>133</v>
      </c>
      <c r="D154" s="2" t="s">
        <v>222</v>
      </c>
      <c r="E154" s="2" t="s">
        <v>26</v>
      </c>
      <c r="F154" s="2" t="s">
        <v>230</v>
      </c>
      <c r="G154" s="2" t="s">
        <v>60</v>
      </c>
      <c r="H154" s="2" t="s">
        <v>60</v>
      </c>
      <c r="I154" s="5">
        <v>46133</v>
      </c>
      <c r="J154" s="2" t="s">
        <v>205</v>
      </c>
      <c r="K154" s="2" t="s">
        <v>224</v>
      </c>
      <c r="L154" s="2" t="s">
        <v>486</v>
      </c>
      <c r="M154" s="2"/>
      <c r="N154" s="5">
        <v>46146</v>
      </c>
      <c r="O154" s="2" t="s">
        <v>208</v>
      </c>
    </row>
    <row r="155" spans="1:15" ht="28.8" x14ac:dyDescent="0.3">
      <c r="A155" s="2" t="s">
        <v>487</v>
      </c>
      <c r="B155" s="2" t="s">
        <v>132</v>
      </c>
      <c r="C155" s="2" t="s">
        <v>133</v>
      </c>
      <c r="D155" s="2" t="s">
        <v>222</v>
      </c>
      <c r="E155" s="2" t="s">
        <v>27</v>
      </c>
      <c r="F155" s="2" t="s">
        <v>233</v>
      </c>
      <c r="G155" s="2" t="s">
        <v>60</v>
      </c>
      <c r="H155" s="2" t="s">
        <v>58</v>
      </c>
      <c r="I155" s="5"/>
      <c r="J155" s="2" t="s">
        <v>255</v>
      </c>
      <c r="K155" s="2" t="s">
        <v>224</v>
      </c>
      <c r="L155" s="2"/>
      <c r="M155" s="2" t="s">
        <v>256</v>
      </c>
      <c r="N155" s="5"/>
      <c r="O155" s="2" t="s">
        <v>208</v>
      </c>
    </row>
    <row r="156" spans="1:15" ht="28.8" x14ac:dyDescent="0.3">
      <c r="A156" s="2" t="s">
        <v>488</v>
      </c>
      <c r="B156" s="2" t="s">
        <v>132</v>
      </c>
      <c r="C156" s="2" t="s">
        <v>133</v>
      </c>
      <c r="D156" s="2" t="s">
        <v>222</v>
      </c>
      <c r="E156" s="2" t="s">
        <v>28</v>
      </c>
      <c r="F156" s="2" t="s">
        <v>236</v>
      </c>
      <c r="G156" s="2" t="s">
        <v>60</v>
      </c>
      <c r="H156" s="2" t="s">
        <v>58</v>
      </c>
      <c r="I156" s="5"/>
      <c r="J156" s="2" t="s">
        <v>255</v>
      </c>
      <c r="K156" s="2" t="s">
        <v>224</v>
      </c>
      <c r="L156" s="2"/>
      <c r="M156" s="2" t="s">
        <v>256</v>
      </c>
      <c r="N156" s="5"/>
      <c r="O156" s="2" t="s">
        <v>208</v>
      </c>
    </row>
    <row r="157" spans="1:15" ht="28.8" x14ac:dyDescent="0.3">
      <c r="A157" s="2" t="s">
        <v>489</v>
      </c>
      <c r="B157" s="2" t="s">
        <v>132</v>
      </c>
      <c r="C157" s="2" t="s">
        <v>133</v>
      </c>
      <c r="D157" s="2" t="s">
        <v>222</v>
      </c>
      <c r="E157" s="2" t="s">
        <v>29</v>
      </c>
      <c r="F157" s="2" t="s">
        <v>239</v>
      </c>
      <c r="G157" s="2" t="s">
        <v>60</v>
      </c>
      <c r="H157" s="2" t="s">
        <v>58</v>
      </c>
      <c r="I157" s="5"/>
      <c r="J157" s="2" t="s">
        <v>255</v>
      </c>
      <c r="K157" s="2" t="s">
        <v>224</v>
      </c>
      <c r="L157" s="2"/>
      <c r="M157" s="2" t="s">
        <v>256</v>
      </c>
      <c r="N157" s="5"/>
      <c r="O157" s="2" t="s">
        <v>208</v>
      </c>
    </row>
    <row r="158" spans="1:15" ht="28.8" x14ac:dyDescent="0.3">
      <c r="A158" s="2" t="s">
        <v>490</v>
      </c>
      <c r="B158" s="2" t="s">
        <v>132</v>
      </c>
      <c r="C158" s="2" t="s">
        <v>133</v>
      </c>
      <c r="D158" s="2" t="s">
        <v>222</v>
      </c>
      <c r="E158" s="2" t="s">
        <v>30</v>
      </c>
      <c r="F158" s="2" t="s">
        <v>242</v>
      </c>
      <c r="G158" s="2" t="s">
        <v>60</v>
      </c>
      <c r="H158" s="2" t="s">
        <v>58</v>
      </c>
      <c r="I158" s="5"/>
      <c r="J158" s="2" t="s">
        <v>255</v>
      </c>
      <c r="K158" s="2" t="s">
        <v>224</v>
      </c>
      <c r="L158" s="2"/>
      <c r="M158" s="2" t="s">
        <v>256</v>
      </c>
      <c r="N158" s="5"/>
      <c r="O158" s="2" t="s">
        <v>208</v>
      </c>
    </row>
    <row r="159" spans="1:15" ht="28.8" x14ac:dyDescent="0.3">
      <c r="A159" s="2" t="s">
        <v>491</v>
      </c>
      <c r="B159" s="2" t="s">
        <v>132</v>
      </c>
      <c r="C159" s="2" t="s">
        <v>133</v>
      </c>
      <c r="D159" s="2" t="s">
        <v>222</v>
      </c>
      <c r="E159" s="2" t="s">
        <v>31</v>
      </c>
      <c r="F159" s="2" t="s">
        <v>245</v>
      </c>
      <c r="G159" s="2" t="s">
        <v>60</v>
      </c>
      <c r="H159" s="2" t="s">
        <v>58</v>
      </c>
      <c r="I159" s="5"/>
      <c r="J159" s="2" t="s">
        <v>255</v>
      </c>
      <c r="K159" s="2" t="s">
        <v>224</v>
      </c>
      <c r="L159" s="2"/>
      <c r="M159" s="2" t="s">
        <v>256</v>
      </c>
      <c r="N159" s="5"/>
      <c r="O159" s="2" t="s">
        <v>208</v>
      </c>
    </row>
    <row r="160" spans="1:15" ht="28.8" x14ac:dyDescent="0.3">
      <c r="A160" s="2" t="s">
        <v>492</v>
      </c>
      <c r="B160" s="2" t="s">
        <v>132</v>
      </c>
      <c r="C160" s="2" t="s">
        <v>133</v>
      </c>
      <c r="D160" s="2" t="s">
        <v>222</v>
      </c>
      <c r="E160" s="2" t="s">
        <v>32</v>
      </c>
      <c r="F160" s="2" t="s">
        <v>248</v>
      </c>
      <c r="G160" s="2" t="s">
        <v>60</v>
      </c>
      <c r="H160" s="2" t="s">
        <v>58</v>
      </c>
      <c r="I160" s="5"/>
      <c r="J160" s="2" t="s">
        <v>255</v>
      </c>
      <c r="K160" s="2" t="s">
        <v>224</v>
      </c>
      <c r="L160" s="2"/>
      <c r="M160" s="2" t="s">
        <v>256</v>
      </c>
      <c r="N160" s="5"/>
      <c r="O160" s="2" t="s">
        <v>208</v>
      </c>
    </row>
    <row r="161" spans="1:15" ht="28.8" x14ac:dyDescent="0.3">
      <c r="A161" s="2" t="s">
        <v>493</v>
      </c>
      <c r="B161" s="2" t="s">
        <v>132</v>
      </c>
      <c r="C161" s="2" t="s">
        <v>133</v>
      </c>
      <c r="D161" s="2" t="s">
        <v>222</v>
      </c>
      <c r="E161" s="2" t="s">
        <v>33</v>
      </c>
      <c r="F161" s="2" t="s">
        <v>251</v>
      </c>
      <c r="G161" s="2" t="s">
        <v>60</v>
      </c>
      <c r="H161" s="2" t="s">
        <v>58</v>
      </c>
      <c r="I161" s="5"/>
      <c r="J161" s="2" t="s">
        <v>255</v>
      </c>
      <c r="K161" s="2" t="s">
        <v>224</v>
      </c>
      <c r="L161" s="2"/>
      <c r="M161" s="2" t="s">
        <v>256</v>
      </c>
      <c r="N161" s="5"/>
      <c r="O161" s="2" t="s">
        <v>208</v>
      </c>
    </row>
    <row r="162" spans="1:15" ht="28.8" x14ac:dyDescent="0.3">
      <c r="A162" s="2" t="s">
        <v>494</v>
      </c>
      <c r="B162" s="2" t="s">
        <v>132</v>
      </c>
      <c r="C162" s="2" t="s">
        <v>133</v>
      </c>
      <c r="D162" s="2" t="s">
        <v>222</v>
      </c>
      <c r="E162" s="2" t="s">
        <v>34</v>
      </c>
      <c r="F162" s="2" t="s">
        <v>254</v>
      </c>
      <c r="G162" s="2" t="s">
        <v>60</v>
      </c>
      <c r="H162" s="2" t="s">
        <v>58</v>
      </c>
      <c r="I162" s="5"/>
      <c r="J162" s="2" t="s">
        <v>255</v>
      </c>
      <c r="K162" s="2" t="s">
        <v>224</v>
      </c>
      <c r="L162" s="2"/>
      <c r="M162" s="2" t="s">
        <v>256</v>
      </c>
      <c r="N162" s="5"/>
      <c r="O162" s="2" t="s">
        <v>208</v>
      </c>
    </row>
    <row r="163" spans="1:15" ht="28.8" x14ac:dyDescent="0.3">
      <c r="A163" s="2" t="s">
        <v>495</v>
      </c>
      <c r="B163" s="2" t="s">
        <v>132</v>
      </c>
      <c r="C163" s="2" t="s">
        <v>133</v>
      </c>
      <c r="D163" s="2" t="s">
        <v>222</v>
      </c>
      <c r="E163" s="2" t="s">
        <v>35</v>
      </c>
      <c r="F163" s="2" t="s">
        <v>258</v>
      </c>
      <c r="G163" s="2" t="s">
        <v>60</v>
      </c>
      <c r="H163" s="2" t="s">
        <v>58</v>
      </c>
      <c r="I163" s="5"/>
      <c r="J163" s="2" t="s">
        <v>255</v>
      </c>
      <c r="K163" s="2" t="s">
        <v>224</v>
      </c>
      <c r="L163" s="2"/>
      <c r="M163" s="2" t="s">
        <v>256</v>
      </c>
      <c r="N163" s="5"/>
      <c r="O163" s="2" t="s">
        <v>208</v>
      </c>
    </row>
    <row r="164" spans="1:15" ht="28.8" x14ac:dyDescent="0.3">
      <c r="A164" s="2" t="s">
        <v>496</v>
      </c>
      <c r="B164" s="2" t="s">
        <v>132</v>
      </c>
      <c r="C164" s="2" t="s">
        <v>133</v>
      </c>
      <c r="D164" s="2" t="s">
        <v>222</v>
      </c>
      <c r="E164" s="2" t="s">
        <v>36</v>
      </c>
      <c r="F164" s="2" t="s">
        <v>260</v>
      </c>
      <c r="G164" s="2" t="s">
        <v>60</v>
      </c>
      <c r="H164" s="2" t="s">
        <v>58</v>
      </c>
      <c r="I164" s="5"/>
      <c r="J164" s="2" t="s">
        <v>255</v>
      </c>
      <c r="K164" s="2" t="s">
        <v>224</v>
      </c>
      <c r="L164" s="2"/>
      <c r="M164" s="2" t="s">
        <v>256</v>
      </c>
      <c r="N164" s="5"/>
      <c r="O164" s="2" t="s">
        <v>208</v>
      </c>
    </row>
    <row r="165" spans="1:15" ht="28.8" x14ac:dyDescent="0.3">
      <c r="A165" s="2" t="s">
        <v>497</v>
      </c>
      <c r="B165" s="2" t="s">
        <v>142</v>
      </c>
      <c r="C165" s="2" t="s">
        <v>143</v>
      </c>
      <c r="D165" s="2" t="s">
        <v>203</v>
      </c>
      <c r="E165" s="2" t="s">
        <v>19</v>
      </c>
      <c r="F165" s="2" t="s">
        <v>204</v>
      </c>
      <c r="G165" s="2" t="s">
        <v>60</v>
      </c>
      <c r="H165" s="2" t="s">
        <v>60</v>
      </c>
      <c r="I165" s="5">
        <v>46134</v>
      </c>
      <c r="J165" s="2" t="s">
        <v>205</v>
      </c>
      <c r="K165" s="2" t="s">
        <v>206</v>
      </c>
      <c r="L165" s="2" t="s">
        <v>498</v>
      </c>
      <c r="M165" s="2"/>
      <c r="N165" s="5">
        <v>46146</v>
      </c>
      <c r="O165" s="2" t="s">
        <v>208</v>
      </c>
    </row>
    <row r="166" spans="1:15" ht="28.8" x14ac:dyDescent="0.3">
      <c r="A166" s="2" t="s">
        <v>499</v>
      </c>
      <c r="B166" s="2" t="s">
        <v>142</v>
      </c>
      <c r="C166" s="2" t="s">
        <v>143</v>
      </c>
      <c r="D166" s="2" t="s">
        <v>203</v>
      </c>
      <c r="E166" s="2" t="s">
        <v>20</v>
      </c>
      <c r="F166" s="2" t="s">
        <v>210</v>
      </c>
      <c r="G166" s="2" t="s">
        <v>60</v>
      </c>
      <c r="H166" s="2" t="s">
        <v>60</v>
      </c>
      <c r="I166" s="5">
        <v>46134</v>
      </c>
      <c r="J166" s="2" t="s">
        <v>205</v>
      </c>
      <c r="K166" s="2" t="s">
        <v>206</v>
      </c>
      <c r="L166" s="2" t="s">
        <v>500</v>
      </c>
      <c r="M166" s="2"/>
      <c r="N166" s="5">
        <v>46146</v>
      </c>
      <c r="O166" s="2" t="s">
        <v>208</v>
      </c>
    </row>
    <row r="167" spans="1:15" ht="28.8" x14ac:dyDescent="0.3">
      <c r="A167" s="2" t="s">
        <v>501</v>
      </c>
      <c r="B167" s="2" t="s">
        <v>142</v>
      </c>
      <c r="C167" s="2" t="s">
        <v>143</v>
      </c>
      <c r="D167" s="2" t="s">
        <v>203</v>
      </c>
      <c r="E167" s="2" t="s">
        <v>21</v>
      </c>
      <c r="F167" s="2" t="s">
        <v>213</v>
      </c>
      <c r="G167" s="2" t="s">
        <v>60</v>
      </c>
      <c r="H167" s="2" t="s">
        <v>60</v>
      </c>
      <c r="I167" s="5">
        <v>46134</v>
      </c>
      <c r="J167" s="2" t="s">
        <v>205</v>
      </c>
      <c r="K167" s="2" t="s">
        <v>206</v>
      </c>
      <c r="L167" s="2" t="s">
        <v>502</v>
      </c>
      <c r="M167" s="2"/>
      <c r="N167" s="5">
        <v>46146</v>
      </c>
      <c r="O167" s="2" t="s">
        <v>208</v>
      </c>
    </row>
    <row r="168" spans="1:15" ht="28.8" x14ac:dyDescent="0.3">
      <c r="A168" s="2" t="s">
        <v>503</v>
      </c>
      <c r="B168" s="2" t="s">
        <v>142</v>
      </c>
      <c r="C168" s="2" t="s">
        <v>143</v>
      </c>
      <c r="D168" s="2" t="s">
        <v>203</v>
      </c>
      <c r="E168" s="2" t="s">
        <v>22</v>
      </c>
      <c r="F168" s="2" t="s">
        <v>216</v>
      </c>
      <c r="G168" s="2" t="s">
        <v>60</v>
      </c>
      <c r="H168" s="2" t="s">
        <v>60</v>
      </c>
      <c r="I168" s="5">
        <v>46134</v>
      </c>
      <c r="J168" s="2" t="s">
        <v>205</v>
      </c>
      <c r="K168" s="2" t="s">
        <v>206</v>
      </c>
      <c r="L168" s="2" t="s">
        <v>504</v>
      </c>
      <c r="M168" s="2"/>
      <c r="N168" s="5">
        <v>46146</v>
      </c>
      <c r="O168" s="2" t="s">
        <v>208</v>
      </c>
    </row>
    <row r="169" spans="1:15" ht="28.8" x14ac:dyDescent="0.3">
      <c r="A169" s="2" t="s">
        <v>505</v>
      </c>
      <c r="B169" s="2" t="s">
        <v>142</v>
      </c>
      <c r="C169" s="2" t="s">
        <v>143</v>
      </c>
      <c r="D169" s="2" t="s">
        <v>203</v>
      </c>
      <c r="E169" s="2" t="s">
        <v>23</v>
      </c>
      <c r="F169" s="2" t="s">
        <v>219</v>
      </c>
      <c r="G169" s="2" t="s">
        <v>60</v>
      </c>
      <c r="H169" s="2" t="s">
        <v>60</v>
      </c>
      <c r="I169" s="5">
        <v>46134</v>
      </c>
      <c r="J169" s="2" t="s">
        <v>205</v>
      </c>
      <c r="K169" s="2" t="s">
        <v>206</v>
      </c>
      <c r="L169" s="2" t="s">
        <v>506</v>
      </c>
      <c r="M169" s="2"/>
      <c r="N169" s="5">
        <v>46146</v>
      </c>
      <c r="O169" s="2" t="s">
        <v>208</v>
      </c>
    </row>
    <row r="170" spans="1:15" ht="28.8" x14ac:dyDescent="0.3">
      <c r="A170" s="2" t="s">
        <v>507</v>
      </c>
      <c r="B170" s="2" t="s">
        <v>142</v>
      </c>
      <c r="C170" s="2" t="s">
        <v>143</v>
      </c>
      <c r="D170" s="2" t="s">
        <v>222</v>
      </c>
      <c r="E170" s="2" t="s">
        <v>24</v>
      </c>
      <c r="F170" s="2" t="s">
        <v>223</v>
      </c>
      <c r="G170" s="2" t="s">
        <v>60</v>
      </c>
      <c r="H170" s="2" t="s">
        <v>60</v>
      </c>
      <c r="I170" s="5">
        <v>46134</v>
      </c>
      <c r="J170" s="2" t="s">
        <v>205</v>
      </c>
      <c r="K170" s="2" t="s">
        <v>224</v>
      </c>
      <c r="L170" s="2" t="s">
        <v>508</v>
      </c>
      <c r="M170" s="2"/>
      <c r="N170" s="5">
        <v>46146</v>
      </c>
      <c r="O170" s="2" t="s">
        <v>208</v>
      </c>
    </row>
    <row r="171" spans="1:15" ht="28.8" x14ac:dyDescent="0.3">
      <c r="A171" s="2" t="s">
        <v>509</v>
      </c>
      <c r="B171" s="2" t="s">
        <v>142</v>
      </c>
      <c r="C171" s="2" t="s">
        <v>143</v>
      </c>
      <c r="D171" s="2" t="s">
        <v>222</v>
      </c>
      <c r="E171" s="2" t="s">
        <v>25</v>
      </c>
      <c r="F171" s="2" t="s">
        <v>227</v>
      </c>
      <c r="G171" s="2" t="s">
        <v>60</v>
      </c>
      <c r="H171" s="2" t="s">
        <v>60</v>
      </c>
      <c r="I171" s="5">
        <v>46134</v>
      </c>
      <c r="J171" s="2" t="s">
        <v>205</v>
      </c>
      <c r="K171" s="2" t="s">
        <v>224</v>
      </c>
      <c r="L171" s="2" t="s">
        <v>510</v>
      </c>
      <c r="M171" s="2"/>
      <c r="N171" s="5">
        <v>46146</v>
      </c>
      <c r="O171" s="2" t="s">
        <v>208</v>
      </c>
    </row>
    <row r="172" spans="1:15" ht="28.8" x14ac:dyDescent="0.3">
      <c r="A172" s="2" t="s">
        <v>511</v>
      </c>
      <c r="B172" s="2" t="s">
        <v>142</v>
      </c>
      <c r="C172" s="2" t="s">
        <v>143</v>
      </c>
      <c r="D172" s="2" t="s">
        <v>222</v>
      </c>
      <c r="E172" s="2" t="s">
        <v>26</v>
      </c>
      <c r="F172" s="2" t="s">
        <v>230</v>
      </c>
      <c r="G172" s="2" t="s">
        <v>60</v>
      </c>
      <c r="H172" s="2" t="s">
        <v>60</v>
      </c>
      <c r="I172" s="5">
        <v>46134</v>
      </c>
      <c r="J172" s="2" t="s">
        <v>205</v>
      </c>
      <c r="K172" s="2" t="s">
        <v>224</v>
      </c>
      <c r="L172" s="2" t="s">
        <v>512</v>
      </c>
      <c r="M172" s="2"/>
      <c r="N172" s="5">
        <v>46146</v>
      </c>
      <c r="O172" s="2" t="s">
        <v>208</v>
      </c>
    </row>
    <row r="173" spans="1:15" ht="28.8" x14ac:dyDescent="0.3">
      <c r="A173" s="2" t="s">
        <v>513</v>
      </c>
      <c r="B173" s="2" t="s">
        <v>142</v>
      </c>
      <c r="C173" s="2" t="s">
        <v>143</v>
      </c>
      <c r="D173" s="2" t="s">
        <v>222</v>
      </c>
      <c r="E173" s="2" t="s">
        <v>27</v>
      </c>
      <c r="F173" s="2" t="s">
        <v>233</v>
      </c>
      <c r="G173" s="2" t="s">
        <v>60</v>
      </c>
      <c r="H173" s="2" t="s">
        <v>60</v>
      </c>
      <c r="I173" s="5">
        <v>46134</v>
      </c>
      <c r="J173" s="2" t="s">
        <v>205</v>
      </c>
      <c r="K173" s="2" t="s">
        <v>224</v>
      </c>
      <c r="L173" s="2" t="s">
        <v>514</v>
      </c>
      <c r="M173" s="2"/>
      <c r="N173" s="5">
        <v>46146</v>
      </c>
      <c r="O173" s="2" t="s">
        <v>208</v>
      </c>
    </row>
    <row r="174" spans="1:15" ht="28.8" x14ac:dyDescent="0.3">
      <c r="A174" s="2" t="s">
        <v>515</v>
      </c>
      <c r="B174" s="2" t="s">
        <v>142</v>
      </c>
      <c r="C174" s="2" t="s">
        <v>143</v>
      </c>
      <c r="D174" s="2" t="s">
        <v>222</v>
      </c>
      <c r="E174" s="2" t="s">
        <v>28</v>
      </c>
      <c r="F174" s="2" t="s">
        <v>236</v>
      </c>
      <c r="G174" s="2" t="s">
        <v>60</v>
      </c>
      <c r="H174" s="2" t="s">
        <v>60</v>
      </c>
      <c r="I174" s="5">
        <v>46134</v>
      </c>
      <c r="J174" s="2" t="s">
        <v>205</v>
      </c>
      <c r="K174" s="2" t="s">
        <v>224</v>
      </c>
      <c r="L174" s="2" t="s">
        <v>516</v>
      </c>
      <c r="M174" s="2"/>
      <c r="N174" s="5">
        <v>46146</v>
      </c>
      <c r="O174" s="2" t="s">
        <v>208</v>
      </c>
    </row>
    <row r="175" spans="1:15" ht="28.8" x14ac:dyDescent="0.3">
      <c r="A175" s="2" t="s">
        <v>517</v>
      </c>
      <c r="B175" s="2" t="s">
        <v>142</v>
      </c>
      <c r="C175" s="2" t="s">
        <v>143</v>
      </c>
      <c r="D175" s="2" t="s">
        <v>222</v>
      </c>
      <c r="E175" s="2" t="s">
        <v>29</v>
      </c>
      <c r="F175" s="2" t="s">
        <v>239</v>
      </c>
      <c r="G175" s="2" t="s">
        <v>60</v>
      </c>
      <c r="H175" s="2" t="s">
        <v>60</v>
      </c>
      <c r="I175" s="5">
        <v>46134</v>
      </c>
      <c r="J175" s="2" t="s">
        <v>205</v>
      </c>
      <c r="K175" s="2" t="s">
        <v>224</v>
      </c>
      <c r="L175" s="2" t="s">
        <v>518</v>
      </c>
      <c r="M175" s="2"/>
      <c r="N175" s="5">
        <v>46146</v>
      </c>
      <c r="O175" s="2" t="s">
        <v>208</v>
      </c>
    </row>
    <row r="176" spans="1:15" ht="28.8" x14ac:dyDescent="0.3">
      <c r="A176" s="2" t="s">
        <v>519</v>
      </c>
      <c r="B176" s="2" t="s">
        <v>142</v>
      </c>
      <c r="C176" s="2" t="s">
        <v>143</v>
      </c>
      <c r="D176" s="2" t="s">
        <v>222</v>
      </c>
      <c r="E176" s="2" t="s">
        <v>30</v>
      </c>
      <c r="F176" s="2" t="s">
        <v>242</v>
      </c>
      <c r="G176" s="2" t="s">
        <v>60</v>
      </c>
      <c r="H176" s="2" t="s">
        <v>60</v>
      </c>
      <c r="I176" s="5">
        <v>46134</v>
      </c>
      <c r="J176" s="2" t="s">
        <v>205</v>
      </c>
      <c r="K176" s="2" t="s">
        <v>224</v>
      </c>
      <c r="L176" s="2" t="s">
        <v>520</v>
      </c>
      <c r="M176" s="2"/>
      <c r="N176" s="5">
        <v>46146</v>
      </c>
      <c r="O176" s="2" t="s">
        <v>208</v>
      </c>
    </row>
    <row r="177" spans="1:15" ht="28.8" x14ac:dyDescent="0.3">
      <c r="A177" s="2" t="s">
        <v>521</v>
      </c>
      <c r="B177" s="2" t="s">
        <v>142</v>
      </c>
      <c r="C177" s="2" t="s">
        <v>143</v>
      </c>
      <c r="D177" s="2" t="s">
        <v>222</v>
      </c>
      <c r="E177" s="2" t="s">
        <v>31</v>
      </c>
      <c r="F177" s="2" t="s">
        <v>245</v>
      </c>
      <c r="G177" s="2" t="s">
        <v>60</v>
      </c>
      <c r="H177" s="2" t="s">
        <v>60</v>
      </c>
      <c r="I177" s="5">
        <v>46134</v>
      </c>
      <c r="J177" s="2" t="s">
        <v>205</v>
      </c>
      <c r="K177" s="2" t="s">
        <v>224</v>
      </c>
      <c r="L177" s="2" t="s">
        <v>522</v>
      </c>
      <c r="M177" s="2"/>
      <c r="N177" s="5">
        <v>46146</v>
      </c>
      <c r="O177" s="2" t="s">
        <v>208</v>
      </c>
    </row>
    <row r="178" spans="1:15" ht="28.8" x14ac:dyDescent="0.3">
      <c r="A178" s="2" t="s">
        <v>523</v>
      </c>
      <c r="B178" s="2" t="s">
        <v>142</v>
      </c>
      <c r="C178" s="2" t="s">
        <v>143</v>
      </c>
      <c r="D178" s="2" t="s">
        <v>222</v>
      </c>
      <c r="E178" s="2" t="s">
        <v>32</v>
      </c>
      <c r="F178" s="2" t="s">
        <v>248</v>
      </c>
      <c r="G178" s="2" t="s">
        <v>60</v>
      </c>
      <c r="H178" s="2" t="s">
        <v>58</v>
      </c>
      <c r="I178" s="5"/>
      <c r="J178" s="2" t="s">
        <v>255</v>
      </c>
      <c r="K178" s="2" t="s">
        <v>224</v>
      </c>
      <c r="L178" s="2"/>
      <c r="M178" s="2" t="s">
        <v>256</v>
      </c>
      <c r="N178" s="5"/>
      <c r="O178" s="2" t="s">
        <v>208</v>
      </c>
    </row>
    <row r="179" spans="1:15" ht="28.8" x14ac:dyDescent="0.3">
      <c r="A179" s="2" t="s">
        <v>524</v>
      </c>
      <c r="B179" s="2" t="s">
        <v>142</v>
      </c>
      <c r="C179" s="2" t="s">
        <v>143</v>
      </c>
      <c r="D179" s="2" t="s">
        <v>222</v>
      </c>
      <c r="E179" s="2" t="s">
        <v>33</v>
      </c>
      <c r="F179" s="2" t="s">
        <v>251</v>
      </c>
      <c r="G179" s="2" t="s">
        <v>60</v>
      </c>
      <c r="H179" s="2" t="s">
        <v>58</v>
      </c>
      <c r="I179" s="5"/>
      <c r="J179" s="2" t="s">
        <v>255</v>
      </c>
      <c r="K179" s="2" t="s">
        <v>224</v>
      </c>
      <c r="L179" s="2"/>
      <c r="M179" s="2" t="s">
        <v>256</v>
      </c>
      <c r="N179" s="5"/>
      <c r="O179" s="2" t="s">
        <v>208</v>
      </c>
    </row>
    <row r="180" spans="1:15" ht="28.8" x14ac:dyDescent="0.3">
      <c r="A180" s="2" t="s">
        <v>525</v>
      </c>
      <c r="B180" s="2" t="s">
        <v>142</v>
      </c>
      <c r="C180" s="2" t="s">
        <v>143</v>
      </c>
      <c r="D180" s="2" t="s">
        <v>222</v>
      </c>
      <c r="E180" s="2" t="s">
        <v>34</v>
      </c>
      <c r="F180" s="2" t="s">
        <v>254</v>
      </c>
      <c r="G180" s="2" t="s">
        <v>60</v>
      </c>
      <c r="H180" s="2" t="s">
        <v>58</v>
      </c>
      <c r="I180" s="5"/>
      <c r="J180" s="2" t="s">
        <v>255</v>
      </c>
      <c r="K180" s="2" t="s">
        <v>224</v>
      </c>
      <c r="L180" s="2"/>
      <c r="M180" s="2" t="s">
        <v>256</v>
      </c>
      <c r="N180" s="5"/>
      <c r="O180" s="2" t="s">
        <v>208</v>
      </c>
    </row>
    <row r="181" spans="1:15" ht="28.8" x14ac:dyDescent="0.3">
      <c r="A181" s="2" t="s">
        <v>526</v>
      </c>
      <c r="B181" s="2" t="s">
        <v>142</v>
      </c>
      <c r="C181" s="2" t="s">
        <v>143</v>
      </c>
      <c r="D181" s="2" t="s">
        <v>222</v>
      </c>
      <c r="E181" s="2" t="s">
        <v>35</v>
      </c>
      <c r="F181" s="2" t="s">
        <v>258</v>
      </c>
      <c r="G181" s="2" t="s">
        <v>60</v>
      </c>
      <c r="H181" s="2" t="s">
        <v>58</v>
      </c>
      <c r="I181" s="5"/>
      <c r="J181" s="2" t="s">
        <v>255</v>
      </c>
      <c r="K181" s="2" t="s">
        <v>224</v>
      </c>
      <c r="L181" s="2"/>
      <c r="M181" s="2" t="s">
        <v>256</v>
      </c>
      <c r="N181" s="5"/>
      <c r="O181" s="2" t="s">
        <v>208</v>
      </c>
    </row>
    <row r="182" spans="1:15" ht="28.8" x14ac:dyDescent="0.3">
      <c r="A182" s="2" t="s">
        <v>527</v>
      </c>
      <c r="B182" s="2" t="s">
        <v>142</v>
      </c>
      <c r="C182" s="2" t="s">
        <v>143</v>
      </c>
      <c r="D182" s="2" t="s">
        <v>222</v>
      </c>
      <c r="E182" s="2" t="s">
        <v>36</v>
      </c>
      <c r="F182" s="2" t="s">
        <v>260</v>
      </c>
      <c r="G182" s="2" t="s">
        <v>60</v>
      </c>
      <c r="H182" s="2" t="s">
        <v>58</v>
      </c>
      <c r="I182" s="5"/>
      <c r="J182" s="2" t="s">
        <v>255</v>
      </c>
      <c r="K182" s="2" t="s">
        <v>224</v>
      </c>
      <c r="L182" s="2"/>
      <c r="M182" s="2" t="s">
        <v>256</v>
      </c>
      <c r="N182" s="5"/>
      <c r="O182" s="2" t="s">
        <v>208</v>
      </c>
    </row>
    <row r="183" spans="1:15" ht="28.8" x14ac:dyDescent="0.3">
      <c r="A183" s="2" t="s">
        <v>528</v>
      </c>
      <c r="B183" s="2" t="s">
        <v>142</v>
      </c>
      <c r="C183" s="2" t="s">
        <v>143</v>
      </c>
      <c r="D183" s="2" t="s">
        <v>435</v>
      </c>
      <c r="E183" s="2" t="s">
        <v>436</v>
      </c>
      <c r="F183" s="2" t="s">
        <v>437</v>
      </c>
      <c r="G183" s="2" t="s">
        <v>60</v>
      </c>
      <c r="H183" s="2" t="s">
        <v>60</v>
      </c>
      <c r="I183" s="5">
        <v>46140</v>
      </c>
      <c r="J183" s="2" t="s">
        <v>205</v>
      </c>
      <c r="K183" s="2" t="s">
        <v>438</v>
      </c>
      <c r="L183" s="2" t="s">
        <v>529</v>
      </c>
      <c r="M183" s="2"/>
      <c r="N183" s="5">
        <v>46146</v>
      </c>
      <c r="O183" s="2" t="s">
        <v>440</v>
      </c>
    </row>
    <row r="184" spans="1:15" ht="28.8" x14ac:dyDescent="0.3">
      <c r="A184" s="2" t="s">
        <v>530</v>
      </c>
      <c r="B184" s="2" t="s">
        <v>152</v>
      </c>
      <c r="C184" s="2" t="s">
        <v>153</v>
      </c>
      <c r="D184" s="2" t="s">
        <v>203</v>
      </c>
      <c r="E184" s="2" t="s">
        <v>19</v>
      </c>
      <c r="F184" s="2" t="s">
        <v>204</v>
      </c>
      <c r="G184" s="2" t="s">
        <v>60</v>
      </c>
      <c r="H184" s="2" t="s">
        <v>60</v>
      </c>
      <c r="I184" s="5">
        <v>46135</v>
      </c>
      <c r="J184" s="2" t="s">
        <v>205</v>
      </c>
      <c r="K184" s="2" t="s">
        <v>206</v>
      </c>
      <c r="L184" s="2" t="s">
        <v>531</v>
      </c>
      <c r="M184" s="2"/>
      <c r="N184" s="5">
        <v>46146</v>
      </c>
      <c r="O184" s="2" t="s">
        <v>208</v>
      </c>
    </row>
    <row r="185" spans="1:15" ht="28.8" x14ac:dyDescent="0.3">
      <c r="A185" s="2" t="s">
        <v>532</v>
      </c>
      <c r="B185" s="2" t="s">
        <v>152</v>
      </c>
      <c r="C185" s="2" t="s">
        <v>153</v>
      </c>
      <c r="D185" s="2" t="s">
        <v>203</v>
      </c>
      <c r="E185" s="2" t="s">
        <v>20</v>
      </c>
      <c r="F185" s="2" t="s">
        <v>210</v>
      </c>
      <c r="G185" s="2" t="s">
        <v>60</v>
      </c>
      <c r="H185" s="2" t="s">
        <v>60</v>
      </c>
      <c r="I185" s="5">
        <v>46135</v>
      </c>
      <c r="J185" s="2" t="s">
        <v>205</v>
      </c>
      <c r="K185" s="2" t="s">
        <v>206</v>
      </c>
      <c r="L185" s="2" t="s">
        <v>533</v>
      </c>
      <c r="M185" s="2"/>
      <c r="N185" s="5">
        <v>46146</v>
      </c>
      <c r="O185" s="2" t="s">
        <v>208</v>
      </c>
    </row>
    <row r="186" spans="1:15" ht="28.8" x14ac:dyDescent="0.3">
      <c r="A186" s="2" t="s">
        <v>534</v>
      </c>
      <c r="B186" s="2" t="s">
        <v>152</v>
      </c>
      <c r="C186" s="2" t="s">
        <v>153</v>
      </c>
      <c r="D186" s="2" t="s">
        <v>203</v>
      </c>
      <c r="E186" s="2" t="s">
        <v>21</v>
      </c>
      <c r="F186" s="2" t="s">
        <v>213</v>
      </c>
      <c r="G186" s="2" t="s">
        <v>60</v>
      </c>
      <c r="H186" s="2" t="s">
        <v>60</v>
      </c>
      <c r="I186" s="5">
        <v>46135</v>
      </c>
      <c r="J186" s="2" t="s">
        <v>205</v>
      </c>
      <c r="K186" s="2" t="s">
        <v>206</v>
      </c>
      <c r="L186" s="2" t="s">
        <v>535</v>
      </c>
      <c r="M186" s="2"/>
      <c r="N186" s="5">
        <v>46146</v>
      </c>
      <c r="O186" s="2" t="s">
        <v>208</v>
      </c>
    </row>
    <row r="187" spans="1:15" ht="28.8" x14ac:dyDescent="0.3">
      <c r="A187" s="2" t="s">
        <v>536</v>
      </c>
      <c r="B187" s="2" t="s">
        <v>152</v>
      </c>
      <c r="C187" s="2" t="s">
        <v>153</v>
      </c>
      <c r="D187" s="2" t="s">
        <v>203</v>
      </c>
      <c r="E187" s="2" t="s">
        <v>22</v>
      </c>
      <c r="F187" s="2" t="s">
        <v>216</v>
      </c>
      <c r="G187" s="2" t="s">
        <v>60</v>
      </c>
      <c r="H187" s="2" t="s">
        <v>60</v>
      </c>
      <c r="I187" s="5">
        <v>46135</v>
      </c>
      <c r="J187" s="2" t="s">
        <v>300</v>
      </c>
      <c r="K187" s="2" t="s">
        <v>206</v>
      </c>
      <c r="L187" s="2" t="s">
        <v>537</v>
      </c>
      <c r="M187" s="2" t="s">
        <v>302</v>
      </c>
      <c r="N187" s="5"/>
      <c r="O187" s="2" t="s">
        <v>208</v>
      </c>
    </row>
    <row r="188" spans="1:15" ht="28.8" x14ac:dyDescent="0.3">
      <c r="A188" s="2" t="s">
        <v>538</v>
      </c>
      <c r="B188" s="2" t="s">
        <v>152</v>
      </c>
      <c r="C188" s="2" t="s">
        <v>153</v>
      </c>
      <c r="D188" s="2" t="s">
        <v>203</v>
      </c>
      <c r="E188" s="2" t="s">
        <v>23</v>
      </c>
      <c r="F188" s="2" t="s">
        <v>219</v>
      </c>
      <c r="G188" s="2" t="s">
        <v>60</v>
      </c>
      <c r="H188" s="2" t="s">
        <v>58</v>
      </c>
      <c r="I188" s="5"/>
      <c r="J188" s="2" t="s">
        <v>255</v>
      </c>
      <c r="K188" s="2" t="s">
        <v>206</v>
      </c>
      <c r="L188" s="2"/>
      <c r="M188" s="2" t="s">
        <v>256</v>
      </c>
      <c r="N188" s="5"/>
      <c r="O188" s="2" t="s">
        <v>208</v>
      </c>
    </row>
    <row r="189" spans="1:15" ht="28.8" x14ac:dyDescent="0.3">
      <c r="A189" s="2" t="s">
        <v>539</v>
      </c>
      <c r="B189" s="2" t="s">
        <v>152</v>
      </c>
      <c r="C189" s="2" t="s">
        <v>153</v>
      </c>
      <c r="D189" s="2" t="s">
        <v>222</v>
      </c>
      <c r="E189" s="2" t="s">
        <v>24</v>
      </c>
      <c r="F189" s="2" t="s">
        <v>223</v>
      </c>
      <c r="G189" s="2" t="s">
        <v>60</v>
      </c>
      <c r="H189" s="2" t="s">
        <v>60</v>
      </c>
      <c r="I189" s="5">
        <v>46135</v>
      </c>
      <c r="J189" s="2" t="s">
        <v>205</v>
      </c>
      <c r="K189" s="2" t="s">
        <v>224</v>
      </c>
      <c r="L189" s="2" t="s">
        <v>540</v>
      </c>
      <c r="M189" s="2"/>
      <c r="N189" s="5">
        <v>46146</v>
      </c>
      <c r="O189" s="2" t="s">
        <v>208</v>
      </c>
    </row>
    <row r="190" spans="1:15" ht="28.8" x14ac:dyDescent="0.3">
      <c r="A190" s="2" t="s">
        <v>541</v>
      </c>
      <c r="B190" s="2" t="s">
        <v>152</v>
      </c>
      <c r="C190" s="2" t="s">
        <v>153</v>
      </c>
      <c r="D190" s="2" t="s">
        <v>222</v>
      </c>
      <c r="E190" s="2" t="s">
        <v>25</v>
      </c>
      <c r="F190" s="2" t="s">
        <v>227</v>
      </c>
      <c r="G190" s="2" t="s">
        <v>60</v>
      </c>
      <c r="H190" s="2" t="s">
        <v>60</v>
      </c>
      <c r="I190" s="5">
        <v>46135</v>
      </c>
      <c r="J190" s="2" t="s">
        <v>205</v>
      </c>
      <c r="K190" s="2" t="s">
        <v>224</v>
      </c>
      <c r="L190" s="2" t="s">
        <v>542</v>
      </c>
      <c r="M190" s="2"/>
      <c r="N190" s="5">
        <v>46146</v>
      </c>
      <c r="O190" s="2" t="s">
        <v>208</v>
      </c>
    </row>
    <row r="191" spans="1:15" ht="28.8" x14ac:dyDescent="0.3">
      <c r="A191" s="2" t="s">
        <v>543</v>
      </c>
      <c r="B191" s="2" t="s">
        <v>152</v>
      </c>
      <c r="C191" s="2" t="s">
        <v>153</v>
      </c>
      <c r="D191" s="2" t="s">
        <v>222</v>
      </c>
      <c r="E191" s="2" t="s">
        <v>26</v>
      </c>
      <c r="F191" s="2" t="s">
        <v>230</v>
      </c>
      <c r="G191" s="2" t="s">
        <v>60</v>
      </c>
      <c r="H191" s="2" t="s">
        <v>60</v>
      </c>
      <c r="I191" s="5">
        <v>46135</v>
      </c>
      <c r="J191" s="2" t="s">
        <v>300</v>
      </c>
      <c r="K191" s="2" t="s">
        <v>224</v>
      </c>
      <c r="L191" s="2" t="s">
        <v>544</v>
      </c>
      <c r="M191" s="2" t="s">
        <v>302</v>
      </c>
      <c r="N191" s="5"/>
      <c r="O191" s="2" t="s">
        <v>208</v>
      </c>
    </row>
    <row r="192" spans="1:15" ht="28.8" x14ac:dyDescent="0.3">
      <c r="A192" s="2" t="s">
        <v>545</v>
      </c>
      <c r="B192" s="2" t="s">
        <v>152</v>
      </c>
      <c r="C192" s="2" t="s">
        <v>153</v>
      </c>
      <c r="D192" s="2" t="s">
        <v>222</v>
      </c>
      <c r="E192" s="2" t="s">
        <v>27</v>
      </c>
      <c r="F192" s="2" t="s">
        <v>233</v>
      </c>
      <c r="G192" s="2" t="s">
        <v>60</v>
      </c>
      <c r="H192" s="2" t="s">
        <v>60</v>
      </c>
      <c r="I192" s="5">
        <v>46135</v>
      </c>
      <c r="J192" s="2" t="s">
        <v>205</v>
      </c>
      <c r="K192" s="2" t="s">
        <v>224</v>
      </c>
      <c r="L192" s="2" t="s">
        <v>546</v>
      </c>
      <c r="M192" s="2"/>
      <c r="N192" s="5">
        <v>46146</v>
      </c>
      <c r="O192" s="2" t="s">
        <v>208</v>
      </c>
    </row>
    <row r="193" spans="1:15" ht="28.8" x14ac:dyDescent="0.3">
      <c r="A193" s="2" t="s">
        <v>547</v>
      </c>
      <c r="B193" s="2" t="s">
        <v>152</v>
      </c>
      <c r="C193" s="2" t="s">
        <v>153</v>
      </c>
      <c r="D193" s="2" t="s">
        <v>222</v>
      </c>
      <c r="E193" s="2" t="s">
        <v>28</v>
      </c>
      <c r="F193" s="2" t="s">
        <v>236</v>
      </c>
      <c r="G193" s="2" t="s">
        <v>60</v>
      </c>
      <c r="H193" s="2" t="s">
        <v>60</v>
      </c>
      <c r="I193" s="5">
        <v>46135</v>
      </c>
      <c r="J193" s="2" t="s">
        <v>205</v>
      </c>
      <c r="K193" s="2" t="s">
        <v>224</v>
      </c>
      <c r="L193" s="2" t="s">
        <v>548</v>
      </c>
      <c r="M193" s="2"/>
      <c r="N193" s="5">
        <v>46146</v>
      </c>
      <c r="O193" s="2" t="s">
        <v>208</v>
      </c>
    </row>
    <row r="194" spans="1:15" ht="28.8" x14ac:dyDescent="0.3">
      <c r="A194" s="2" t="s">
        <v>549</v>
      </c>
      <c r="B194" s="2" t="s">
        <v>152</v>
      </c>
      <c r="C194" s="2" t="s">
        <v>153</v>
      </c>
      <c r="D194" s="2" t="s">
        <v>222</v>
      </c>
      <c r="E194" s="2" t="s">
        <v>29</v>
      </c>
      <c r="F194" s="2" t="s">
        <v>239</v>
      </c>
      <c r="G194" s="2" t="s">
        <v>60</v>
      </c>
      <c r="H194" s="2" t="s">
        <v>60</v>
      </c>
      <c r="I194" s="5">
        <v>46135</v>
      </c>
      <c r="J194" s="2" t="s">
        <v>205</v>
      </c>
      <c r="K194" s="2" t="s">
        <v>224</v>
      </c>
      <c r="L194" s="2" t="s">
        <v>550</v>
      </c>
      <c r="M194" s="2"/>
      <c r="N194" s="5">
        <v>46146</v>
      </c>
      <c r="O194" s="2" t="s">
        <v>208</v>
      </c>
    </row>
    <row r="195" spans="1:15" ht="28.8" x14ac:dyDescent="0.3">
      <c r="A195" s="2" t="s">
        <v>551</v>
      </c>
      <c r="B195" s="2" t="s">
        <v>152</v>
      </c>
      <c r="C195" s="2" t="s">
        <v>153</v>
      </c>
      <c r="D195" s="2" t="s">
        <v>222</v>
      </c>
      <c r="E195" s="2" t="s">
        <v>30</v>
      </c>
      <c r="F195" s="2" t="s">
        <v>242</v>
      </c>
      <c r="G195" s="2" t="s">
        <v>60</v>
      </c>
      <c r="H195" s="2" t="s">
        <v>60</v>
      </c>
      <c r="I195" s="5">
        <v>46135</v>
      </c>
      <c r="J195" s="2" t="s">
        <v>300</v>
      </c>
      <c r="K195" s="2" t="s">
        <v>224</v>
      </c>
      <c r="L195" s="2" t="s">
        <v>552</v>
      </c>
      <c r="M195" s="2" t="s">
        <v>302</v>
      </c>
      <c r="N195" s="5"/>
      <c r="O195" s="2" t="s">
        <v>208</v>
      </c>
    </row>
    <row r="196" spans="1:15" ht="28.8" x14ac:dyDescent="0.3">
      <c r="A196" s="2" t="s">
        <v>553</v>
      </c>
      <c r="B196" s="2" t="s">
        <v>152</v>
      </c>
      <c r="C196" s="2" t="s">
        <v>153</v>
      </c>
      <c r="D196" s="2" t="s">
        <v>222</v>
      </c>
      <c r="E196" s="2" t="s">
        <v>31</v>
      </c>
      <c r="F196" s="2" t="s">
        <v>245</v>
      </c>
      <c r="G196" s="2" t="s">
        <v>60</v>
      </c>
      <c r="H196" s="2" t="s">
        <v>58</v>
      </c>
      <c r="I196" s="5"/>
      <c r="J196" s="2" t="s">
        <v>255</v>
      </c>
      <c r="K196" s="2" t="s">
        <v>224</v>
      </c>
      <c r="L196" s="2"/>
      <c r="M196" s="2" t="s">
        <v>256</v>
      </c>
      <c r="N196" s="5"/>
      <c r="O196" s="2" t="s">
        <v>208</v>
      </c>
    </row>
    <row r="197" spans="1:15" ht="28.8" x14ac:dyDescent="0.3">
      <c r="A197" s="2" t="s">
        <v>554</v>
      </c>
      <c r="B197" s="2" t="s">
        <v>152</v>
      </c>
      <c r="C197" s="2" t="s">
        <v>153</v>
      </c>
      <c r="D197" s="2" t="s">
        <v>222</v>
      </c>
      <c r="E197" s="2" t="s">
        <v>32</v>
      </c>
      <c r="F197" s="2" t="s">
        <v>248</v>
      </c>
      <c r="G197" s="2" t="s">
        <v>60</v>
      </c>
      <c r="H197" s="2" t="s">
        <v>58</v>
      </c>
      <c r="I197" s="5"/>
      <c r="J197" s="2" t="s">
        <v>255</v>
      </c>
      <c r="K197" s="2" t="s">
        <v>224</v>
      </c>
      <c r="L197" s="2"/>
      <c r="M197" s="2" t="s">
        <v>256</v>
      </c>
      <c r="N197" s="5"/>
      <c r="O197" s="2" t="s">
        <v>208</v>
      </c>
    </row>
    <row r="198" spans="1:15" ht="28.8" x14ac:dyDescent="0.3">
      <c r="A198" s="2" t="s">
        <v>555</v>
      </c>
      <c r="B198" s="2" t="s">
        <v>152</v>
      </c>
      <c r="C198" s="2" t="s">
        <v>153</v>
      </c>
      <c r="D198" s="2" t="s">
        <v>222</v>
      </c>
      <c r="E198" s="2" t="s">
        <v>33</v>
      </c>
      <c r="F198" s="2" t="s">
        <v>251</v>
      </c>
      <c r="G198" s="2" t="s">
        <v>60</v>
      </c>
      <c r="H198" s="2" t="s">
        <v>58</v>
      </c>
      <c r="I198" s="5"/>
      <c r="J198" s="2" t="s">
        <v>255</v>
      </c>
      <c r="K198" s="2" t="s">
        <v>224</v>
      </c>
      <c r="L198" s="2"/>
      <c r="M198" s="2" t="s">
        <v>256</v>
      </c>
      <c r="N198" s="5"/>
      <c r="O198" s="2" t="s">
        <v>208</v>
      </c>
    </row>
    <row r="199" spans="1:15" ht="28.8" x14ac:dyDescent="0.3">
      <c r="A199" s="2" t="s">
        <v>556</v>
      </c>
      <c r="B199" s="2" t="s">
        <v>152</v>
      </c>
      <c r="C199" s="2" t="s">
        <v>153</v>
      </c>
      <c r="D199" s="2" t="s">
        <v>222</v>
      </c>
      <c r="E199" s="2" t="s">
        <v>34</v>
      </c>
      <c r="F199" s="2" t="s">
        <v>254</v>
      </c>
      <c r="G199" s="2" t="s">
        <v>60</v>
      </c>
      <c r="H199" s="2" t="s">
        <v>58</v>
      </c>
      <c r="I199" s="5"/>
      <c r="J199" s="2" t="s">
        <v>255</v>
      </c>
      <c r="K199" s="2" t="s">
        <v>224</v>
      </c>
      <c r="L199" s="2"/>
      <c r="M199" s="2" t="s">
        <v>256</v>
      </c>
      <c r="N199" s="5"/>
      <c r="O199" s="2" t="s">
        <v>208</v>
      </c>
    </row>
    <row r="200" spans="1:15" ht="28.8" x14ac:dyDescent="0.3">
      <c r="A200" s="2" t="s">
        <v>557</v>
      </c>
      <c r="B200" s="2" t="s">
        <v>152</v>
      </c>
      <c r="C200" s="2" t="s">
        <v>153</v>
      </c>
      <c r="D200" s="2" t="s">
        <v>222</v>
      </c>
      <c r="E200" s="2" t="s">
        <v>35</v>
      </c>
      <c r="F200" s="2" t="s">
        <v>258</v>
      </c>
      <c r="G200" s="2" t="s">
        <v>60</v>
      </c>
      <c r="H200" s="2" t="s">
        <v>58</v>
      </c>
      <c r="I200" s="5"/>
      <c r="J200" s="2" t="s">
        <v>255</v>
      </c>
      <c r="K200" s="2" t="s">
        <v>224</v>
      </c>
      <c r="L200" s="2"/>
      <c r="M200" s="2" t="s">
        <v>256</v>
      </c>
      <c r="N200" s="5"/>
      <c r="O200" s="2" t="s">
        <v>208</v>
      </c>
    </row>
    <row r="201" spans="1:15" ht="28.8" x14ac:dyDescent="0.3">
      <c r="A201" s="2" t="s">
        <v>558</v>
      </c>
      <c r="B201" s="2" t="s">
        <v>152</v>
      </c>
      <c r="C201" s="2" t="s">
        <v>153</v>
      </c>
      <c r="D201" s="2" t="s">
        <v>222</v>
      </c>
      <c r="E201" s="2" t="s">
        <v>36</v>
      </c>
      <c r="F201" s="2" t="s">
        <v>260</v>
      </c>
      <c r="G201" s="2" t="s">
        <v>60</v>
      </c>
      <c r="H201" s="2" t="s">
        <v>58</v>
      </c>
      <c r="I201" s="5"/>
      <c r="J201" s="2" t="s">
        <v>255</v>
      </c>
      <c r="K201" s="2" t="s">
        <v>224</v>
      </c>
      <c r="L201" s="2"/>
      <c r="M201" s="2" t="s">
        <v>256</v>
      </c>
      <c r="N201" s="5"/>
      <c r="O201" s="2" t="s">
        <v>208</v>
      </c>
    </row>
    <row r="202" spans="1:15" ht="28.8" x14ac:dyDescent="0.3">
      <c r="A202" s="2" t="s">
        <v>559</v>
      </c>
      <c r="B202" s="2" t="s">
        <v>152</v>
      </c>
      <c r="C202" s="2" t="s">
        <v>153</v>
      </c>
      <c r="D202" s="2" t="s">
        <v>435</v>
      </c>
      <c r="E202" s="2" t="s">
        <v>436</v>
      </c>
      <c r="F202" s="2" t="s">
        <v>437</v>
      </c>
      <c r="G202" s="2" t="s">
        <v>60</v>
      </c>
      <c r="H202" s="2" t="s">
        <v>58</v>
      </c>
      <c r="I202" s="5"/>
      <c r="J202" s="2" t="s">
        <v>255</v>
      </c>
      <c r="K202" s="2" t="s">
        <v>438</v>
      </c>
      <c r="L202" s="2"/>
      <c r="M202" s="2" t="s">
        <v>439</v>
      </c>
      <c r="N202" s="5"/>
      <c r="O202" s="2" t="s">
        <v>440</v>
      </c>
    </row>
    <row r="203" spans="1:15" ht="28.8" x14ac:dyDescent="0.3">
      <c r="A203" s="2" t="s">
        <v>560</v>
      </c>
      <c r="B203" s="2" t="s">
        <v>162</v>
      </c>
      <c r="C203" s="2" t="s">
        <v>163</v>
      </c>
      <c r="D203" s="2" t="s">
        <v>203</v>
      </c>
      <c r="E203" s="2" t="s">
        <v>19</v>
      </c>
      <c r="F203" s="2" t="s">
        <v>204</v>
      </c>
      <c r="G203" s="2" t="s">
        <v>60</v>
      </c>
      <c r="H203" s="2" t="s">
        <v>60</v>
      </c>
      <c r="I203" s="5">
        <v>46136</v>
      </c>
      <c r="J203" s="2" t="s">
        <v>205</v>
      </c>
      <c r="K203" s="2" t="s">
        <v>206</v>
      </c>
      <c r="L203" s="2" t="s">
        <v>561</v>
      </c>
      <c r="M203" s="2"/>
      <c r="N203" s="5">
        <v>46146</v>
      </c>
      <c r="O203" s="2" t="s">
        <v>208</v>
      </c>
    </row>
    <row r="204" spans="1:15" ht="28.8" x14ac:dyDescent="0.3">
      <c r="A204" s="2" t="s">
        <v>562</v>
      </c>
      <c r="B204" s="2" t="s">
        <v>162</v>
      </c>
      <c r="C204" s="2" t="s">
        <v>163</v>
      </c>
      <c r="D204" s="2" t="s">
        <v>203</v>
      </c>
      <c r="E204" s="2" t="s">
        <v>20</v>
      </c>
      <c r="F204" s="2" t="s">
        <v>210</v>
      </c>
      <c r="G204" s="2" t="s">
        <v>60</v>
      </c>
      <c r="H204" s="2" t="s">
        <v>60</v>
      </c>
      <c r="I204" s="5">
        <v>46136</v>
      </c>
      <c r="J204" s="2" t="s">
        <v>205</v>
      </c>
      <c r="K204" s="2" t="s">
        <v>206</v>
      </c>
      <c r="L204" s="2" t="s">
        <v>563</v>
      </c>
      <c r="M204" s="2"/>
      <c r="N204" s="5">
        <v>46146</v>
      </c>
      <c r="O204" s="2" t="s">
        <v>208</v>
      </c>
    </row>
    <row r="205" spans="1:15" ht="28.8" x14ac:dyDescent="0.3">
      <c r="A205" s="2" t="s">
        <v>564</v>
      </c>
      <c r="B205" s="2" t="s">
        <v>162</v>
      </c>
      <c r="C205" s="2" t="s">
        <v>163</v>
      </c>
      <c r="D205" s="2" t="s">
        <v>203</v>
      </c>
      <c r="E205" s="2" t="s">
        <v>21</v>
      </c>
      <c r="F205" s="2" t="s">
        <v>213</v>
      </c>
      <c r="G205" s="2" t="s">
        <v>60</v>
      </c>
      <c r="H205" s="2" t="s">
        <v>60</v>
      </c>
      <c r="I205" s="5">
        <v>46136</v>
      </c>
      <c r="J205" s="2" t="s">
        <v>266</v>
      </c>
      <c r="K205" s="2" t="s">
        <v>206</v>
      </c>
      <c r="L205" s="2" t="s">
        <v>565</v>
      </c>
      <c r="M205" s="2"/>
      <c r="N205" s="5"/>
      <c r="O205" s="2" t="s">
        <v>208</v>
      </c>
    </row>
    <row r="206" spans="1:15" ht="28.8" x14ac:dyDescent="0.3">
      <c r="A206" s="2" t="s">
        <v>566</v>
      </c>
      <c r="B206" s="2" t="s">
        <v>162</v>
      </c>
      <c r="C206" s="2" t="s">
        <v>163</v>
      </c>
      <c r="D206" s="2" t="s">
        <v>203</v>
      </c>
      <c r="E206" s="2" t="s">
        <v>22</v>
      </c>
      <c r="F206" s="2" t="s">
        <v>216</v>
      </c>
      <c r="G206" s="2" t="s">
        <v>60</v>
      </c>
      <c r="H206" s="2" t="s">
        <v>58</v>
      </c>
      <c r="I206" s="5"/>
      <c r="J206" s="2" t="s">
        <v>255</v>
      </c>
      <c r="K206" s="2" t="s">
        <v>206</v>
      </c>
      <c r="L206" s="2"/>
      <c r="M206" s="2" t="s">
        <v>256</v>
      </c>
      <c r="N206" s="5"/>
      <c r="O206" s="2" t="s">
        <v>208</v>
      </c>
    </row>
    <row r="207" spans="1:15" ht="28.8" x14ac:dyDescent="0.3">
      <c r="A207" s="2" t="s">
        <v>567</v>
      </c>
      <c r="B207" s="2" t="s">
        <v>162</v>
      </c>
      <c r="C207" s="2" t="s">
        <v>163</v>
      </c>
      <c r="D207" s="2" t="s">
        <v>203</v>
      </c>
      <c r="E207" s="2" t="s">
        <v>23</v>
      </c>
      <c r="F207" s="2" t="s">
        <v>219</v>
      </c>
      <c r="G207" s="2" t="s">
        <v>60</v>
      </c>
      <c r="H207" s="2" t="s">
        <v>58</v>
      </c>
      <c r="I207" s="5"/>
      <c r="J207" s="2" t="s">
        <v>255</v>
      </c>
      <c r="K207" s="2" t="s">
        <v>206</v>
      </c>
      <c r="L207" s="2"/>
      <c r="M207" s="2" t="s">
        <v>256</v>
      </c>
      <c r="N207" s="5"/>
      <c r="O207" s="2" t="s">
        <v>208</v>
      </c>
    </row>
    <row r="208" spans="1:15" ht="28.8" x14ac:dyDescent="0.3">
      <c r="A208" s="2" t="s">
        <v>568</v>
      </c>
      <c r="B208" s="2" t="s">
        <v>162</v>
      </c>
      <c r="C208" s="2" t="s">
        <v>163</v>
      </c>
      <c r="D208" s="2" t="s">
        <v>222</v>
      </c>
      <c r="E208" s="2" t="s">
        <v>24</v>
      </c>
      <c r="F208" s="2" t="s">
        <v>223</v>
      </c>
      <c r="G208" s="2" t="s">
        <v>60</v>
      </c>
      <c r="H208" s="2" t="s">
        <v>60</v>
      </c>
      <c r="I208" s="5">
        <v>46136</v>
      </c>
      <c r="J208" s="2" t="s">
        <v>266</v>
      </c>
      <c r="K208" s="2" t="s">
        <v>224</v>
      </c>
      <c r="L208" s="2" t="s">
        <v>569</v>
      </c>
      <c r="M208" s="2"/>
      <c r="N208" s="5"/>
      <c r="O208" s="2" t="s">
        <v>208</v>
      </c>
    </row>
    <row r="209" spans="1:15" ht="28.8" x14ac:dyDescent="0.3">
      <c r="A209" s="2" t="s">
        <v>570</v>
      </c>
      <c r="B209" s="2" t="s">
        <v>162</v>
      </c>
      <c r="C209" s="2" t="s">
        <v>163</v>
      </c>
      <c r="D209" s="2" t="s">
        <v>222</v>
      </c>
      <c r="E209" s="2" t="s">
        <v>25</v>
      </c>
      <c r="F209" s="2" t="s">
        <v>227</v>
      </c>
      <c r="G209" s="2" t="s">
        <v>60</v>
      </c>
      <c r="H209" s="2" t="s">
        <v>60</v>
      </c>
      <c r="I209" s="5">
        <v>46136</v>
      </c>
      <c r="J209" s="2" t="s">
        <v>205</v>
      </c>
      <c r="K209" s="2" t="s">
        <v>224</v>
      </c>
      <c r="L209" s="2" t="s">
        <v>571</v>
      </c>
      <c r="M209" s="2"/>
      <c r="N209" s="5">
        <v>46146</v>
      </c>
      <c r="O209" s="2" t="s">
        <v>208</v>
      </c>
    </row>
    <row r="210" spans="1:15" ht="28.8" x14ac:dyDescent="0.3">
      <c r="A210" s="2" t="s">
        <v>572</v>
      </c>
      <c r="B210" s="2" t="s">
        <v>162</v>
      </c>
      <c r="C210" s="2" t="s">
        <v>163</v>
      </c>
      <c r="D210" s="2" t="s">
        <v>222</v>
      </c>
      <c r="E210" s="2" t="s">
        <v>26</v>
      </c>
      <c r="F210" s="2" t="s">
        <v>230</v>
      </c>
      <c r="G210" s="2" t="s">
        <v>60</v>
      </c>
      <c r="H210" s="2" t="s">
        <v>60</v>
      </c>
      <c r="I210" s="5">
        <v>46136</v>
      </c>
      <c r="J210" s="2" t="s">
        <v>205</v>
      </c>
      <c r="K210" s="2" t="s">
        <v>224</v>
      </c>
      <c r="L210" s="2" t="s">
        <v>573</v>
      </c>
      <c r="M210" s="2"/>
      <c r="N210" s="5">
        <v>46146</v>
      </c>
      <c r="O210" s="2" t="s">
        <v>208</v>
      </c>
    </row>
    <row r="211" spans="1:15" ht="28.8" x14ac:dyDescent="0.3">
      <c r="A211" s="2" t="s">
        <v>574</v>
      </c>
      <c r="B211" s="2" t="s">
        <v>162</v>
      </c>
      <c r="C211" s="2" t="s">
        <v>163</v>
      </c>
      <c r="D211" s="2" t="s">
        <v>222</v>
      </c>
      <c r="E211" s="2" t="s">
        <v>27</v>
      </c>
      <c r="F211" s="2" t="s">
        <v>233</v>
      </c>
      <c r="G211" s="2" t="s">
        <v>60</v>
      </c>
      <c r="H211" s="2" t="s">
        <v>58</v>
      </c>
      <c r="I211" s="5"/>
      <c r="J211" s="2" t="s">
        <v>255</v>
      </c>
      <c r="K211" s="2" t="s">
        <v>224</v>
      </c>
      <c r="L211" s="2"/>
      <c r="M211" s="2" t="s">
        <v>256</v>
      </c>
      <c r="N211" s="5"/>
      <c r="O211" s="2" t="s">
        <v>208</v>
      </c>
    </row>
    <row r="212" spans="1:15" ht="28.8" x14ac:dyDescent="0.3">
      <c r="A212" s="2" t="s">
        <v>575</v>
      </c>
      <c r="B212" s="2" t="s">
        <v>162</v>
      </c>
      <c r="C212" s="2" t="s">
        <v>163</v>
      </c>
      <c r="D212" s="2" t="s">
        <v>222</v>
      </c>
      <c r="E212" s="2" t="s">
        <v>28</v>
      </c>
      <c r="F212" s="2" t="s">
        <v>236</v>
      </c>
      <c r="G212" s="2" t="s">
        <v>60</v>
      </c>
      <c r="H212" s="2" t="s">
        <v>58</v>
      </c>
      <c r="I212" s="5"/>
      <c r="J212" s="2" t="s">
        <v>255</v>
      </c>
      <c r="K212" s="2" t="s">
        <v>224</v>
      </c>
      <c r="L212" s="2"/>
      <c r="M212" s="2" t="s">
        <v>256</v>
      </c>
      <c r="N212" s="5"/>
      <c r="O212" s="2" t="s">
        <v>208</v>
      </c>
    </row>
    <row r="213" spans="1:15" ht="28.8" x14ac:dyDescent="0.3">
      <c r="A213" s="2" t="s">
        <v>576</v>
      </c>
      <c r="B213" s="2" t="s">
        <v>162</v>
      </c>
      <c r="C213" s="2" t="s">
        <v>163</v>
      </c>
      <c r="D213" s="2" t="s">
        <v>222</v>
      </c>
      <c r="E213" s="2" t="s">
        <v>29</v>
      </c>
      <c r="F213" s="2" t="s">
        <v>239</v>
      </c>
      <c r="G213" s="2" t="s">
        <v>60</v>
      </c>
      <c r="H213" s="2" t="s">
        <v>58</v>
      </c>
      <c r="I213" s="5"/>
      <c r="J213" s="2" t="s">
        <v>255</v>
      </c>
      <c r="K213" s="2" t="s">
        <v>224</v>
      </c>
      <c r="L213" s="2"/>
      <c r="M213" s="2" t="s">
        <v>256</v>
      </c>
      <c r="N213" s="5"/>
      <c r="O213" s="2" t="s">
        <v>208</v>
      </c>
    </row>
    <row r="214" spans="1:15" ht="28.8" x14ac:dyDescent="0.3">
      <c r="A214" s="2" t="s">
        <v>577</v>
      </c>
      <c r="B214" s="2" t="s">
        <v>162</v>
      </c>
      <c r="C214" s="2" t="s">
        <v>163</v>
      </c>
      <c r="D214" s="2" t="s">
        <v>222</v>
      </c>
      <c r="E214" s="2" t="s">
        <v>30</v>
      </c>
      <c r="F214" s="2" t="s">
        <v>242</v>
      </c>
      <c r="G214" s="2" t="s">
        <v>60</v>
      </c>
      <c r="H214" s="2" t="s">
        <v>58</v>
      </c>
      <c r="I214" s="5"/>
      <c r="J214" s="2" t="s">
        <v>255</v>
      </c>
      <c r="K214" s="2" t="s">
        <v>224</v>
      </c>
      <c r="L214" s="2"/>
      <c r="M214" s="2" t="s">
        <v>256</v>
      </c>
      <c r="N214" s="5"/>
      <c r="O214" s="2" t="s">
        <v>208</v>
      </c>
    </row>
    <row r="215" spans="1:15" ht="28.8" x14ac:dyDescent="0.3">
      <c r="A215" s="2" t="s">
        <v>578</v>
      </c>
      <c r="B215" s="2" t="s">
        <v>162</v>
      </c>
      <c r="C215" s="2" t="s">
        <v>163</v>
      </c>
      <c r="D215" s="2" t="s">
        <v>222</v>
      </c>
      <c r="E215" s="2" t="s">
        <v>31</v>
      </c>
      <c r="F215" s="2" t="s">
        <v>245</v>
      </c>
      <c r="G215" s="2" t="s">
        <v>60</v>
      </c>
      <c r="H215" s="2" t="s">
        <v>58</v>
      </c>
      <c r="I215" s="5"/>
      <c r="J215" s="2" t="s">
        <v>255</v>
      </c>
      <c r="K215" s="2" t="s">
        <v>224</v>
      </c>
      <c r="L215" s="2"/>
      <c r="M215" s="2" t="s">
        <v>256</v>
      </c>
      <c r="N215" s="5"/>
      <c r="O215" s="2" t="s">
        <v>208</v>
      </c>
    </row>
    <row r="216" spans="1:15" ht="28.8" x14ac:dyDescent="0.3">
      <c r="A216" s="2" t="s">
        <v>579</v>
      </c>
      <c r="B216" s="2" t="s">
        <v>162</v>
      </c>
      <c r="C216" s="2" t="s">
        <v>163</v>
      </c>
      <c r="D216" s="2" t="s">
        <v>222</v>
      </c>
      <c r="E216" s="2" t="s">
        <v>32</v>
      </c>
      <c r="F216" s="2" t="s">
        <v>248</v>
      </c>
      <c r="G216" s="2" t="s">
        <v>60</v>
      </c>
      <c r="H216" s="2" t="s">
        <v>58</v>
      </c>
      <c r="I216" s="5"/>
      <c r="J216" s="2" t="s">
        <v>255</v>
      </c>
      <c r="K216" s="2" t="s">
        <v>224</v>
      </c>
      <c r="L216" s="2"/>
      <c r="M216" s="2" t="s">
        <v>256</v>
      </c>
      <c r="N216" s="5"/>
      <c r="O216" s="2" t="s">
        <v>208</v>
      </c>
    </row>
    <row r="217" spans="1:15" ht="28.8" x14ac:dyDescent="0.3">
      <c r="A217" s="2" t="s">
        <v>580</v>
      </c>
      <c r="B217" s="2" t="s">
        <v>162</v>
      </c>
      <c r="C217" s="2" t="s">
        <v>163</v>
      </c>
      <c r="D217" s="2" t="s">
        <v>222</v>
      </c>
      <c r="E217" s="2" t="s">
        <v>33</v>
      </c>
      <c r="F217" s="2" t="s">
        <v>251</v>
      </c>
      <c r="G217" s="2" t="s">
        <v>60</v>
      </c>
      <c r="H217" s="2" t="s">
        <v>58</v>
      </c>
      <c r="I217" s="5"/>
      <c r="J217" s="2" t="s">
        <v>255</v>
      </c>
      <c r="K217" s="2" t="s">
        <v>224</v>
      </c>
      <c r="L217" s="2"/>
      <c r="M217" s="2" t="s">
        <v>256</v>
      </c>
      <c r="N217" s="5"/>
      <c r="O217" s="2" t="s">
        <v>208</v>
      </c>
    </row>
    <row r="218" spans="1:15" ht="28.8" x14ac:dyDescent="0.3">
      <c r="A218" s="2" t="s">
        <v>581</v>
      </c>
      <c r="B218" s="2" t="s">
        <v>162</v>
      </c>
      <c r="C218" s="2" t="s">
        <v>163</v>
      </c>
      <c r="D218" s="2" t="s">
        <v>222</v>
      </c>
      <c r="E218" s="2" t="s">
        <v>34</v>
      </c>
      <c r="F218" s="2" t="s">
        <v>254</v>
      </c>
      <c r="G218" s="2" t="s">
        <v>60</v>
      </c>
      <c r="H218" s="2" t="s">
        <v>58</v>
      </c>
      <c r="I218" s="5"/>
      <c r="J218" s="2" t="s">
        <v>255</v>
      </c>
      <c r="K218" s="2" t="s">
        <v>224</v>
      </c>
      <c r="L218" s="2"/>
      <c r="M218" s="2" t="s">
        <v>256</v>
      </c>
      <c r="N218" s="5"/>
      <c r="O218" s="2" t="s">
        <v>208</v>
      </c>
    </row>
    <row r="219" spans="1:15" ht="28.8" x14ac:dyDescent="0.3">
      <c r="A219" s="2" t="s">
        <v>582</v>
      </c>
      <c r="B219" s="2" t="s">
        <v>162</v>
      </c>
      <c r="C219" s="2" t="s">
        <v>163</v>
      </c>
      <c r="D219" s="2" t="s">
        <v>222</v>
      </c>
      <c r="E219" s="2" t="s">
        <v>35</v>
      </c>
      <c r="F219" s="2" t="s">
        <v>258</v>
      </c>
      <c r="G219" s="2" t="s">
        <v>60</v>
      </c>
      <c r="H219" s="2" t="s">
        <v>58</v>
      </c>
      <c r="I219" s="5"/>
      <c r="J219" s="2" t="s">
        <v>255</v>
      </c>
      <c r="K219" s="2" t="s">
        <v>224</v>
      </c>
      <c r="L219" s="2"/>
      <c r="M219" s="2" t="s">
        <v>256</v>
      </c>
      <c r="N219" s="5"/>
      <c r="O219" s="2" t="s">
        <v>208</v>
      </c>
    </row>
    <row r="220" spans="1:15" ht="28.8" x14ac:dyDescent="0.3">
      <c r="A220" s="2" t="s">
        <v>583</v>
      </c>
      <c r="B220" s="2" t="s">
        <v>162</v>
      </c>
      <c r="C220" s="2" t="s">
        <v>163</v>
      </c>
      <c r="D220" s="2" t="s">
        <v>222</v>
      </c>
      <c r="E220" s="2" t="s">
        <v>36</v>
      </c>
      <c r="F220" s="2" t="s">
        <v>260</v>
      </c>
      <c r="G220" s="2" t="s">
        <v>60</v>
      </c>
      <c r="H220" s="2" t="s">
        <v>58</v>
      </c>
      <c r="I220" s="5"/>
      <c r="J220" s="2" t="s">
        <v>255</v>
      </c>
      <c r="K220" s="2" t="s">
        <v>224</v>
      </c>
      <c r="L220" s="2"/>
      <c r="M220" s="2" t="s">
        <v>256</v>
      </c>
      <c r="N220" s="5"/>
      <c r="O220" s="2" t="s">
        <v>208</v>
      </c>
    </row>
    <row r="221" spans="1:15" ht="28.8" x14ac:dyDescent="0.3">
      <c r="A221" s="2" t="s">
        <v>584</v>
      </c>
      <c r="B221" s="2" t="s">
        <v>162</v>
      </c>
      <c r="C221" s="2" t="s">
        <v>163</v>
      </c>
      <c r="D221" s="2" t="s">
        <v>435</v>
      </c>
      <c r="E221" s="2" t="s">
        <v>436</v>
      </c>
      <c r="F221" s="2" t="s">
        <v>437</v>
      </c>
      <c r="G221" s="2" t="s">
        <v>60</v>
      </c>
      <c r="H221" s="2" t="s">
        <v>58</v>
      </c>
      <c r="I221" s="5"/>
      <c r="J221" s="2" t="s">
        <v>255</v>
      </c>
      <c r="K221" s="2" t="s">
        <v>438</v>
      </c>
      <c r="L221" s="2"/>
      <c r="M221" s="2" t="s">
        <v>439</v>
      </c>
      <c r="N221" s="5"/>
      <c r="O221" s="2" t="s">
        <v>440</v>
      </c>
    </row>
    <row r="222" spans="1:15" ht="28.8" x14ac:dyDescent="0.3">
      <c r="A222" s="2" t="s">
        <v>585</v>
      </c>
      <c r="B222" s="2" t="s">
        <v>171</v>
      </c>
      <c r="C222" s="2" t="s">
        <v>172</v>
      </c>
      <c r="D222" s="2" t="s">
        <v>203</v>
      </c>
      <c r="E222" s="2" t="s">
        <v>19</v>
      </c>
      <c r="F222" s="2" t="s">
        <v>204</v>
      </c>
      <c r="G222" s="2" t="s">
        <v>60</v>
      </c>
      <c r="H222" s="2" t="s">
        <v>60</v>
      </c>
      <c r="I222" s="5">
        <v>46137</v>
      </c>
      <c r="J222" s="2" t="s">
        <v>205</v>
      </c>
      <c r="K222" s="2" t="s">
        <v>206</v>
      </c>
      <c r="L222" s="2" t="s">
        <v>586</v>
      </c>
      <c r="M222" s="2"/>
      <c r="N222" s="5">
        <v>46146</v>
      </c>
      <c r="O222" s="2" t="s">
        <v>208</v>
      </c>
    </row>
    <row r="223" spans="1:15" ht="28.8" x14ac:dyDescent="0.3">
      <c r="A223" s="2" t="s">
        <v>587</v>
      </c>
      <c r="B223" s="2" t="s">
        <v>171</v>
      </c>
      <c r="C223" s="2" t="s">
        <v>172</v>
      </c>
      <c r="D223" s="2" t="s">
        <v>203</v>
      </c>
      <c r="E223" s="2" t="s">
        <v>20</v>
      </c>
      <c r="F223" s="2" t="s">
        <v>210</v>
      </c>
      <c r="G223" s="2" t="s">
        <v>60</v>
      </c>
      <c r="H223" s="2" t="s">
        <v>60</v>
      </c>
      <c r="I223" s="5">
        <v>46137</v>
      </c>
      <c r="J223" s="2" t="s">
        <v>205</v>
      </c>
      <c r="K223" s="2" t="s">
        <v>206</v>
      </c>
      <c r="L223" s="2" t="s">
        <v>588</v>
      </c>
      <c r="M223" s="2"/>
      <c r="N223" s="5">
        <v>46146</v>
      </c>
      <c r="O223" s="2" t="s">
        <v>208</v>
      </c>
    </row>
    <row r="224" spans="1:15" ht="28.8" x14ac:dyDescent="0.3">
      <c r="A224" s="2" t="s">
        <v>589</v>
      </c>
      <c r="B224" s="2" t="s">
        <v>171</v>
      </c>
      <c r="C224" s="2" t="s">
        <v>172</v>
      </c>
      <c r="D224" s="2" t="s">
        <v>203</v>
      </c>
      <c r="E224" s="2" t="s">
        <v>21</v>
      </c>
      <c r="F224" s="2" t="s">
        <v>213</v>
      </c>
      <c r="G224" s="2" t="s">
        <v>60</v>
      </c>
      <c r="H224" s="2" t="s">
        <v>60</v>
      </c>
      <c r="I224" s="5">
        <v>46137</v>
      </c>
      <c r="J224" s="2" t="s">
        <v>205</v>
      </c>
      <c r="K224" s="2" t="s">
        <v>206</v>
      </c>
      <c r="L224" s="2" t="s">
        <v>590</v>
      </c>
      <c r="M224" s="2"/>
      <c r="N224" s="5">
        <v>46146</v>
      </c>
      <c r="O224" s="2" t="s">
        <v>208</v>
      </c>
    </row>
    <row r="225" spans="1:15" ht="28.8" x14ac:dyDescent="0.3">
      <c r="A225" s="2" t="s">
        <v>591</v>
      </c>
      <c r="B225" s="2" t="s">
        <v>171</v>
      </c>
      <c r="C225" s="2" t="s">
        <v>172</v>
      </c>
      <c r="D225" s="2" t="s">
        <v>203</v>
      </c>
      <c r="E225" s="2" t="s">
        <v>22</v>
      </c>
      <c r="F225" s="2" t="s">
        <v>216</v>
      </c>
      <c r="G225" s="2" t="s">
        <v>60</v>
      </c>
      <c r="H225" s="2" t="s">
        <v>60</v>
      </c>
      <c r="I225" s="5">
        <v>46137</v>
      </c>
      <c r="J225" s="2" t="s">
        <v>205</v>
      </c>
      <c r="K225" s="2" t="s">
        <v>206</v>
      </c>
      <c r="L225" s="2" t="s">
        <v>592</v>
      </c>
      <c r="M225" s="2"/>
      <c r="N225" s="5">
        <v>46146</v>
      </c>
      <c r="O225" s="2" t="s">
        <v>208</v>
      </c>
    </row>
    <row r="226" spans="1:15" ht="28.8" x14ac:dyDescent="0.3">
      <c r="A226" s="2" t="s">
        <v>593</v>
      </c>
      <c r="B226" s="2" t="s">
        <v>171</v>
      </c>
      <c r="C226" s="2" t="s">
        <v>172</v>
      </c>
      <c r="D226" s="2" t="s">
        <v>203</v>
      </c>
      <c r="E226" s="2" t="s">
        <v>23</v>
      </c>
      <c r="F226" s="2" t="s">
        <v>219</v>
      </c>
      <c r="G226" s="2" t="s">
        <v>60</v>
      </c>
      <c r="H226" s="2" t="s">
        <v>60</v>
      </c>
      <c r="I226" s="5">
        <v>46137</v>
      </c>
      <c r="J226" s="2" t="s">
        <v>205</v>
      </c>
      <c r="K226" s="2" t="s">
        <v>206</v>
      </c>
      <c r="L226" s="2" t="s">
        <v>594</v>
      </c>
      <c r="M226" s="2"/>
      <c r="N226" s="5">
        <v>46146</v>
      </c>
      <c r="O226" s="2" t="s">
        <v>208</v>
      </c>
    </row>
    <row r="227" spans="1:15" ht="28.8" x14ac:dyDescent="0.3">
      <c r="A227" s="2" t="s">
        <v>595</v>
      </c>
      <c r="B227" s="2" t="s">
        <v>171</v>
      </c>
      <c r="C227" s="2" t="s">
        <v>172</v>
      </c>
      <c r="D227" s="2" t="s">
        <v>222</v>
      </c>
      <c r="E227" s="2" t="s">
        <v>24</v>
      </c>
      <c r="F227" s="2" t="s">
        <v>223</v>
      </c>
      <c r="G227" s="2" t="s">
        <v>60</v>
      </c>
      <c r="H227" s="2" t="s">
        <v>60</v>
      </c>
      <c r="I227" s="5">
        <v>46137</v>
      </c>
      <c r="J227" s="2" t="s">
        <v>205</v>
      </c>
      <c r="K227" s="2" t="s">
        <v>224</v>
      </c>
      <c r="L227" s="2" t="s">
        <v>596</v>
      </c>
      <c r="M227" s="2"/>
      <c r="N227" s="5">
        <v>46146</v>
      </c>
      <c r="O227" s="2" t="s">
        <v>208</v>
      </c>
    </row>
    <row r="228" spans="1:15" ht="28.8" x14ac:dyDescent="0.3">
      <c r="A228" s="2" t="s">
        <v>597</v>
      </c>
      <c r="B228" s="2" t="s">
        <v>171</v>
      </c>
      <c r="C228" s="2" t="s">
        <v>172</v>
      </c>
      <c r="D228" s="2" t="s">
        <v>222</v>
      </c>
      <c r="E228" s="2" t="s">
        <v>25</v>
      </c>
      <c r="F228" s="2" t="s">
        <v>227</v>
      </c>
      <c r="G228" s="2" t="s">
        <v>60</v>
      </c>
      <c r="H228" s="2" t="s">
        <v>60</v>
      </c>
      <c r="I228" s="5">
        <v>46137</v>
      </c>
      <c r="J228" s="2" t="s">
        <v>205</v>
      </c>
      <c r="K228" s="2" t="s">
        <v>224</v>
      </c>
      <c r="L228" s="2" t="s">
        <v>598</v>
      </c>
      <c r="M228" s="2"/>
      <c r="N228" s="5">
        <v>46146</v>
      </c>
      <c r="O228" s="2" t="s">
        <v>208</v>
      </c>
    </row>
    <row r="229" spans="1:15" ht="28.8" x14ac:dyDescent="0.3">
      <c r="A229" s="2" t="s">
        <v>599</v>
      </c>
      <c r="B229" s="2" t="s">
        <v>171</v>
      </c>
      <c r="C229" s="2" t="s">
        <v>172</v>
      </c>
      <c r="D229" s="2" t="s">
        <v>222</v>
      </c>
      <c r="E229" s="2" t="s">
        <v>26</v>
      </c>
      <c r="F229" s="2" t="s">
        <v>230</v>
      </c>
      <c r="G229" s="2" t="s">
        <v>60</v>
      </c>
      <c r="H229" s="2" t="s">
        <v>60</v>
      </c>
      <c r="I229" s="5">
        <v>46137</v>
      </c>
      <c r="J229" s="2" t="s">
        <v>205</v>
      </c>
      <c r="K229" s="2" t="s">
        <v>224</v>
      </c>
      <c r="L229" s="2" t="s">
        <v>600</v>
      </c>
      <c r="M229" s="2"/>
      <c r="N229" s="5">
        <v>46146</v>
      </c>
      <c r="O229" s="2" t="s">
        <v>208</v>
      </c>
    </row>
    <row r="230" spans="1:15" ht="28.8" x14ac:dyDescent="0.3">
      <c r="A230" s="2" t="s">
        <v>601</v>
      </c>
      <c r="B230" s="2" t="s">
        <v>171</v>
      </c>
      <c r="C230" s="2" t="s">
        <v>172</v>
      </c>
      <c r="D230" s="2" t="s">
        <v>222</v>
      </c>
      <c r="E230" s="2" t="s">
        <v>27</v>
      </c>
      <c r="F230" s="2" t="s">
        <v>233</v>
      </c>
      <c r="G230" s="2" t="s">
        <v>60</v>
      </c>
      <c r="H230" s="2" t="s">
        <v>60</v>
      </c>
      <c r="I230" s="5">
        <v>46137</v>
      </c>
      <c r="J230" s="2" t="s">
        <v>205</v>
      </c>
      <c r="K230" s="2" t="s">
        <v>224</v>
      </c>
      <c r="L230" s="2" t="s">
        <v>602</v>
      </c>
      <c r="M230" s="2"/>
      <c r="N230" s="5">
        <v>46146</v>
      </c>
      <c r="O230" s="2" t="s">
        <v>208</v>
      </c>
    </row>
    <row r="231" spans="1:15" ht="28.8" x14ac:dyDescent="0.3">
      <c r="A231" s="2" t="s">
        <v>603</v>
      </c>
      <c r="B231" s="2" t="s">
        <v>171</v>
      </c>
      <c r="C231" s="2" t="s">
        <v>172</v>
      </c>
      <c r="D231" s="2" t="s">
        <v>222</v>
      </c>
      <c r="E231" s="2" t="s">
        <v>28</v>
      </c>
      <c r="F231" s="2" t="s">
        <v>236</v>
      </c>
      <c r="G231" s="2" t="s">
        <v>60</v>
      </c>
      <c r="H231" s="2" t="s">
        <v>60</v>
      </c>
      <c r="I231" s="5">
        <v>46137</v>
      </c>
      <c r="J231" s="2" t="s">
        <v>205</v>
      </c>
      <c r="K231" s="2" t="s">
        <v>224</v>
      </c>
      <c r="L231" s="2" t="s">
        <v>604</v>
      </c>
      <c r="M231" s="2"/>
      <c r="N231" s="5">
        <v>46146</v>
      </c>
      <c r="O231" s="2" t="s">
        <v>208</v>
      </c>
    </row>
    <row r="232" spans="1:15" ht="28.8" x14ac:dyDescent="0.3">
      <c r="A232" s="2" t="s">
        <v>605</v>
      </c>
      <c r="B232" s="2" t="s">
        <v>171</v>
      </c>
      <c r="C232" s="2" t="s">
        <v>172</v>
      </c>
      <c r="D232" s="2" t="s">
        <v>222</v>
      </c>
      <c r="E232" s="2" t="s">
        <v>29</v>
      </c>
      <c r="F232" s="2" t="s">
        <v>239</v>
      </c>
      <c r="G232" s="2" t="s">
        <v>60</v>
      </c>
      <c r="H232" s="2" t="s">
        <v>60</v>
      </c>
      <c r="I232" s="5">
        <v>46137</v>
      </c>
      <c r="J232" s="2" t="s">
        <v>205</v>
      </c>
      <c r="K232" s="2" t="s">
        <v>224</v>
      </c>
      <c r="L232" s="2" t="s">
        <v>606</v>
      </c>
      <c r="M232" s="2"/>
      <c r="N232" s="5">
        <v>46146</v>
      </c>
      <c r="O232" s="2" t="s">
        <v>208</v>
      </c>
    </row>
    <row r="233" spans="1:15" ht="28.8" x14ac:dyDescent="0.3">
      <c r="A233" s="2" t="s">
        <v>607</v>
      </c>
      <c r="B233" s="2" t="s">
        <v>171</v>
      </c>
      <c r="C233" s="2" t="s">
        <v>172</v>
      </c>
      <c r="D233" s="2" t="s">
        <v>222</v>
      </c>
      <c r="E233" s="2" t="s">
        <v>30</v>
      </c>
      <c r="F233" s="2" t="s">
        <v>242</v>
      </c>
      <c r="G233" s="2" t="s">
        <v>60</v>
      </c>
      <c r="H233" s="2" t="s">
        <v>60</v>
      </c>
      <c r="I233" s="5">
        <v>46137</v>
      </c>
      <c r="J233" s="2" t="s">
        <v>205</v>
      </c>
      <c r="K233" s="2" t="s">
        <v>224</v>
      </c>
      <c r="L233" s="2" t="s">
        <v>608</v>
      </c>
      <c r="M233" s="2"/>
      <c r="N233" s="5">
        <v>46146</v>
      </c>
      <c r="O233" s="2" t="s">
        <v>208</v>
      </c>
    </row>
    <row r="234" spans="1:15" ht="28.8" x14ac:dyDescent="0.3">
      <c r="A234" s="2" t="s">
        <v>609</v>
      </c>
      <c r="B234" s="2" t="s">
        <v>171</v>
      </c>
      <c r="C234" s="2" t="s">
        <v>172</v>
      </c>
      <c r="D234" s="2" t="s">
        <v>222</v>
      </c>
      <c r="E234" s="2" t="s">
        <v>31</v>
      </c>
      <c r="F234" s="2" t="s">
        <v>245</v>
      </c>
      <c r="G234" s="2" t="s">
        <v>60</v>
      </c>
      <c r="H234" s="2" t="s">
        <v>60</v>
      </c>
      <c r="I234" s="5">
        <v>46137</v>
      </c>
      <c r="J234" s="2" t="s">
        <v>205</v>
      </c>
      <c r="K234" s="2" t="s">
        <v>224</v>
      </c>
      <c r="L234" s="2" t="s">
        <v>610</v>
      </c>
      <c r="M234" s="2"/>
      <c r="N234" s="5">
        <v>46146</v>
      </c>
      <c r="O234" s="2" t="s">
        <v>208</v>
      </c>
    </row>
    <row r="235" spans="1:15" ht="28.8" x14ac:dyDescent="0.3">
      <c r="A235" s="2" t="s">
        <v>611</v>
      </c>
      <c r="B235" s="2" t="s">
        <v>171</v>
      </c>
      <c r="C235" s="2" t="s">
        <v>172</v>
      </c>
      <c r="D235" s="2" t="s">
        <v>222</v>
      </c>
      <c r="E235" s="2" t="s">
        <v>32</v>
      </c>
      <c r="F235" s="2" t="s">
        <v>248</v>
      </c>
      <c r="G235" s="2" t="s">
        <v>60</v>
      </c>
      <c r="H235" s="2" t="s">
        <v>60</v>
      </c>
      <c r="I235" s="5">
        <v>46137</v>
      </c>
      <c r="J235" s="2" t="s">
        <v>205</v>
      </c>
      <c r="K235" s="2" t="s">
        <v>224</v>
      </c>
      <c r="L235" s="2" t="s">
        <v>612</v>
      </c>
      <c r="M235" s="2"/>
      <c r="N235" s="5">
        <v>46146</v>
      </c>
      <c r="O235" s="2" t="s">
        <v>208</v>
      </c>
    </row>
    <row r="236" spans="1:15" ht="28.8" x14ac:dyDescent="0.3">
      <c r="A236" s="2" t="s">
        <v>613</v>
      </c>
      <c r="B236" s="2" t="s">
        <v>171</v>
      </c>
      <c r="C236" s="2" t="s">
        <v>172</v>
      </c>
      <c r="D236" s="2" t="s">
        <v>222</v>
      </c>
      <c r="E236" s="2" t="s">
        <v>33</v>
      </c>
      <c r="F236" s="2" t="s">
        <v>251</v>
      </c>
      <c r="G236" s="2" t="s">
        <v>60</v>
      </c>
      <c r="H236" s="2" t="s">
        <v>60</v>
      </c>
      <c r="I236" s="5">
        <v>46137</v>
      </c>
      <c r="J236" s="2" t="s">
        <v>205</v>
      </c>
      <c r="K236" s="2" t="s">
        <v>224</v>
      </c>
      <c r="L236" s="2" t="s">
        <v>614</v>
      </c>
      <c r="M236" s="2"/>
      <c r="N236" s="5">
        <v>46146</v>
      </c>
      <c r="O236" s="2" t="s">
        <v>208</v>
      </c>
    </row>
    <row r="237" spans="1:15" ht="28.8" x14ac:dyDescent="0.3">
      <c r="A237" s="2" t="s">
        <v>615</v>
      </c>
      <c r="B237" s="2" t="s">
        <v>171</v>
      </c>
      <c r="C237" s="2" t="s">
        <v>172</v>
      </c>
      <c r="D237" s="2" t="s">
        <v>222</v>
      </c>
      <c r="E237" s="2" t="s">
        <v>34</v>
      </c>
      <c r="F237" s="2" t="s">
        <v>254</v>
      </c>
      <c r="G237" s="2" t="s">
        <v>60</v>
      </c>
      <c r="H237" s="2" t="s">
        <v>60</v>
      </c>
      <c r="I237" s="5">
        <v>46137</v>
      </c>
      <c r="J237" s="2" t="s">
        <v>205</v>
      </c>
      <c r="K237" s="2" t="s">
        <v>224</v>
      </c>
      <c r="L237" s="2" t="s">
        <v>616</v>
      </c>
      <c r="M237" s="2"/>
      <c r="N237" s="5">
        <v>46146</v>
      </c>
      <c r="O237" s="2" t="s">
        <v>208</v>
      </c>
    </row>
    <row r="238" spans="1:15" ht="28.8" x14ac:dyDescent="0.3">
      <c r="A238" s="2" t="s">
        <v>617</v>
      </c>
      <c r="B238" s="2" t="s">
        <v>171</v>
      </c>
      <c r="C238" s="2" t="s">
        <v>172</v>
      </c>
      <c r="D238" s="2" t="s">
        <v>222</v>
      </c>
      <c r="E238" s="2" t="s">
        <v>35</v>
      </c>
      <c r="F238" s="2" t="s">
        <v>258</v>
      </c>
      <c r="G238" s="2" t="s">
        <v>60</v>
      </c>
      <c r="H238" s="2" t="s">
        <v>60</v>
      </c>
      <c r="I238" s="5">
        <v>46137</v>
      </c>
      <c r="J238" s="2" t="s">
        <v>205</v>
      </c>
      <c r="K238" s="2" t="s">
        <v>224</v>
      </c>
      <c r="L238" s="2" t="s">
        <v>618</v>
      </c>
      <c r="M238" s="2"/>
      <c r="N238" s="5">
        <v>46146</v>
      </c>
      <c r="O238" s="2" t="s">
        <v>208</v>
      </c>
    </row>
    <row r="239" spans="1:15" ht="28.8" x14ac:dyDescent="0.3">
      <c r="A239" s="2" t="s">
        <v>619</v>
      </c>
      <c r="B239" s="2" t="s">
        <v>171</v>
      </c>
      <c r="C239" s="2" t="s">
        <v>172</v>
      </c>
      <c r="D239" s="2" t="s">
        <v>222</v>
      </c>
      <c r="E239" s="2" t="s">
        <v>36</v>
      </c>
      <c r="F239" s="2" t="s">
        <v>260</v>
      </c>
      <c r="G239" s="2" t="s">
        <v>60</v>
      </c>
      <c r="H239" s="2" t="s">
        <v>58</v>
      </c>
      <c r="I239" s="5"/>
      <c r="J239" s="2" t="s">
        <v>255</v>
      </c>
      <c r="K239" s="2" t="s">
        <v>224</v>
      </c>
      <c r="L239" s="2"/>
      <c r="M239" s="2" t="s">
        <v>256</v>
      </c>
      <c r="N239" s="5"/>
      <c r="O239" s="2" t="s">
        <v>208</v>
      </c>
    </row>
    <row r="240" spans="1:15" ht="28.8" x14ac:dyDescent="0.3">
      <c r="A240" s="2" t="s">
        <v>620</v>
      </c>
      <c r="B240" s="2" t="s">
        <v>180</v>
      </c>
      <c r="C240" s="2" t="s">
        <v>181</v>
      </c>
      <c r="D240" s="2" t="s">
        <v>203</v>
      </c>
      <c r="E240" s="2" t="s">
        <v>19</v>
      </c>
      <c r="F240" s="2" t="s">
        <v>204</v>
      </c>
      <c r="G240" s="2" t="s">
        <v>60</v>
      </c>
      <c r="H240" s="2" t="s">
        <v>60</v>
      </c>
      <c r="I240" s="5">
        <v>46138</v>
      </c>
      <c r="J240" s="2" t="s">
        <v>205</v>
      </c>
      <c r="K240" s="2" t="s">
        <v>206</v>
      </c>
      <c r="L240" s="2" t="s">
        <v>621</v>
      </c>
      <c r="M240" s="2"/>
      <c r="N240" s="5">
        <v>46146</v>
      </c>
      <c r="O240" s="2" t="s">
        <v>208</v>
      </c>
    </row>
    <row r="241" spans="1:15" ht="28.8" x14ac:dyDescent="0.3">
      <c r="A241" s="2" t="s">
        <v>622</v>
      </c>
      <c r="B241" s="2" t="s">
        <v>180</v>
      </c>
      <c r="C241" s="2" t="s">
        <v>181</v>
      </c>
      <c r="D241" s="2" t="s">
        <v>203</v>
      </c>
      <c r="E241" s="2" t="s">
        <v>20</v>
      </c>
      <c r="F241" s="2" t="s">
        <v>210</v>
      </c>
      <c r="G241" s="2" t="s">
        <v>60</v>
      </c>
      <c r="H241" s="2" t="s">
        <v>60</v>
      </c>
      <c r="I241" s="5">
        <v>46138</v>
      </c>
      <c r="J241" s="2" t="s">
        <v>205</v>
      </c>
      <c r="K241" s="2" t="s">
        <v>206</v>
      </c>
      <c r="L241" s="2" t="s">
        <v>623</v>
      </c>
      <c r="M241" s="2"/>
      <c r="N241" s="5">
        <v>46146</v>
      </c>
      <c r="O241" s="2" t="s">
        <v>208</v>
      </c>
    </row>
    <row r="242" spans="1:15" ht="28.8" x14ac:dyDescent="0.3">
      <c r="A242" s="2" t="s">
        <v>624</v>
      </c>
      <c r="B242" s="2" t="s">
        <v>180</v>
      </c>
      <c r="C242" s="2" t="s">
        <v>181</v>
      </c>
      <c r="D242" s="2" t="s">
        <v>203</v>
      </c>
      <c r="E242" s="2" t="s">
        <v>21</v>
      </c>
      <c r="F242" s="2" t="s">
        <v>213</v>
      </c>
      <c r="G242" s="2" t="s">
        <v>60</v>
      </c>
      <c r="H242" s="2" t="s">
        <v>60</v>
      </c>
      <c r="I242" s="5">
        <v>46138</v>
      </c>
      <c r="J242" s="2" t="s">
        <v>205</v>
      </c>
      <c r="K242" s="2" t="s">
        <v>206</v>
      </c>
      <c r="L242" s="2" t="s">
        <v>625</v>
      </c>
      <c r="M242" s="2"/>
      <c r="N242" s="5">
        <v>46146</v>
      </c>
      <c r="O242" s="2" t="s">
        <v>208</v>
      </c>
    </row>
    <row r="243" spans="1:15" ht="28.8" x14ac:dyDescent="0.3">
      <c r="A243" s="2" t="s">
        <v>626</v>
      </c>
      <c r="B243" s="2" t="s">
        <v>180</v>
      </c>
      <c r="C243" s="2" t="s">
        <v>181</v>
      </c>
      <c r="D243" s="2" t="s">
        <v>203</v>
      </c>
      <c r="E243" s="2" t="s">
        <v>22</v>
      </c>
      <c r="F243" s="2" t="s">
        <v>216</v>
      </c>
      <c r="G243" s="2" t="s">
        <v>60</v>
      </c>
      <c r="H243" s="2" t="s">
        <v>60</v>
      </c>
      <c r="I243" s="5">
        <v>46138</v>
      </c>
      <c r="J243" s="2" t="s">
        <v>205</v>
      </c>
      <c r="K243" s="2" t="s">
        <v>206</v>
      </c>
      <c r="L243" s="2" t="s">
        <v>627</v>
      </c>
      <c r="M243" s="2"/>
      <c r="N243" s="5">
        <v>46146</v>
      </c>
      <c r="O243" s="2" t="s">
        <v>208</v>
      </c>
    </row>
    <row r="244" spans="1:15" ht="28.8" x14ac:dyDescent="0.3">
      <c r="A244" s="2" t="s">
        <v>628</v>
      </c>
      <c r="B244" s="2" t="s">
        <v>180</v>
      </c>
      <c r="C244" s="2" t="s">
        <v>181</v>
      </c>
      <c r="D244" s="2" t="s">
        <v>203</v>
      </c>
      <c r="E244" s="2" t="s">
        <v>23</v>
      </c>
      <c r="F244" s="2" t="s">
        <v>219</v>
      </c>
      <c r="G244" s="2" t="s">
        <v>60</v>
      </c>
      <c r="H244" s="2" t="s">
        <v>60</v>
      </c>
      <c r="I244" s="5">
        <v>46138</v>
      </c>
      <c r="J244" s="2" t="s">
        <v>205</v>
      </c>
      <c r="K244" s="2" t="s">
        <v>206</v>
      </c>
      <c r="L244" s="2" t="s">
        <v>629</v>
      </c>
      <c r="M244" s="2"/>
      <c r="N244" s="5">
        <v>46146</v>
      </c>
      <c r="O244" s="2" t="s">
        <v>208</v>
      </c>
    </row>
    <row r="245" spans="1:15" ht="28.8" x14ac:dyDescent="0.3">
      <c r="A245" s="2" t="s">
        <v>630</v>
      </c>
      <c r="B245" s="2" t="s">
        <v>180</v>
      </c>
      <c r="C245" s="2" t="s">
        <v>181</v>
      </c>
      <c r="D245" s="2" t="s">
        <v>222</v>
      </c>
      <c r="E245" s="2" t="s">
        <v>24</v>
      </c>
      <c r="F245" s="2" t="s">
        <v>223</v>
      </c>
      <c r="G245" s="2" t="s">
        <v>60</v>
      </c>
      <c r="H245" s="2" t="s">
        <v>60</v>
      </c>
      <c r="I245" s="5">
        <v>46138</v>
      </c>
      <c r="J245" s="2" t="s">
        <v>205</v>
      </c>
      <c r="K245" s="2" t="s">
        <v>224</v>
      </c>
      <c r="L245" s="2" t="s">
        <v>631</v>
      </c>
      <c r="M245" s="2"/>
      <c r="N245" s="5">
        <v>46146</v>
      </c>
      <c r="O245" s="2" t="s">
        <v>208</v>
      </c>
    </row>
    <row r="246" spans="1:15" ht="28.8" x14ac:dyDescent="0.3">
      <c r="A246" s="2" t="s">
        <v>632</v>
      </c>
      <c r="B246" s="2" t="s">
        <v>180</v>
      </c>
      <c r="C246" s="2" t="s">
        <v>181</v>
      </c>
      <c r="D246" s="2" t="s">
        <v>222</v>
      </c>
      <c r="E246" s="2" t="s">
        <v>25</v>
      </c>
      <c r="F246" s="2" t="s">
        <v>227</v>
      </c>
      <c r="G246" s="2" t="s">
        <v>60</v>
      </c>
      <c r="H246" s="2" t="s">
        <v>60</v>
      </c>
      <c r="I246" s="5">
        <v>46138</v>
      </c>
      <c r="J246" s="2" t="s">
        <v>205</v>
      </c>
      <c r="K246" s="2" t="s">
        <v>224</v>
      </c>
      <c r="L246" s="2" t="s">
        <v>633</v>
      </c>
      <c r="M246" s="2"/>
      <c r="N246" s="5">
        <v>46146</v>
      </c>
      <c r="O246" s="2" t="s">
        <v>208</v>
      </c>
    </row>
    <row r="247" spans="1:15" ht="28.8" x14ac:dyDescent="0.3">
      <c r="A247" s="2" t="s">
        <v>634</v>
      </c>
      <c r="B247" s="2" t="s">
        <v>180</v>
      </c>
      <c r="C247" s="2" t="s">
        <v>181</v>
      </c>
      <c r="D247" s="2" t="s">
        <v>222</v>
      </c>
      <c r="E247" s="2" t="s">
        <v>26</v>
      </c>
      <c r="F247" s="2" t="s">
        <v>230</v>
      </c>
      <c r="G247" s="2" t="s">
        <v>60</v>
      </c>
      <c r="H247" s="2" t="s">
        <v>60</v>
      </c>
      <c r="I247" s="5">
        <v>46138</v>
      </c>
      <c r="J247" s="2" t="s">
        <v>205</v>
      </c>
      <c r="K247" s="2" t="s">
        <v>224</v>
      </c>
      <c r="L247" s="2" t="s">
        <v>635</v>
      </c>
      <c r="M247" s="2"/>
      <c r="N247" s="5">
        <v>46146</v>
      </c>
      <c r="O247" s="2" t="s">
        <v>208</v>
      </c>
    </row>
    <row r="248" spans="1:15" ht="28.8" x14ac:dyDescent="0.3">
      <c r="A248" s="2" t="s">
        <v>636</v>
      </c>
      <c r="B248" s="2" t="s">
        <v>180</v>
      </c>
      <c r="C248" s="2" t="s">
        <v>181</v>
      </c>
      <c r="D248" s="2" t="s">
        <v>222</v>
      </c>
      <c r="E248" s="2" t="s">
        <v>27</v>
      </c>
      <c r="F248" s="2" t="s">
        <v>233</v>
      </c>
      <c r="G248" s="2" t="s">
        <v>60</v>
      </c>
      <c r="H248" s="2" t="s">
        <v>60</v>
      </c>
      <c r="I248" s="5">
        <v>46138</v>
      </c>
      <c r="J248" s="2" t="s">
        <v>205</v>
      </c>
      <c r="K248" s="2" t="s">
        <v>224</v>
      </c>
      <c r="L248" s="2" t="s">
        <v>637</v>
      </c>
      <c r="M248" s="2"/>
      <c r="N248" s="5">
        <v>46146</v>
      </c>
      <c r="O248" s="2" t="s">
        <v>208</v>
      </c>
    </row>
    <row r="249" spans="1:15" ht="28.8" x14ac:dyDescent="0.3">
      <c r="A249" s="2" t="s">
        <v>638</v>
      </c>
      <c r="B249" s="2" t="s">
        <v>180</v>
      </c>
      <c r="C249" s="2" t="s">
        <v>181</v>
      </c>
      <c r="D249" s="2" t="s">
        <v>222</v>
      </c>
      <c r="E249" s="2" t="s">
        <v>28</v>
      </c>
      <c r="F249" s="2" t="s">
        <v>236</v>
      </c>
      <c r="G249" s="2" t="s">
        <v>60</v>
      </c>
      <c r="H249" s="2" t="s">
        <v>60</v>
      </c>
      <c r="I249" s="5">
        <v>46138</v>
      </c>
      <c r="J249" s="2" t="s">
        <v>205</v>
      </c>
      <c r="K249" s="2" t="s">
        <v>224</v>
      </c>
      <c r="L249" s="2" t="s">
        <v>639</v>
      </c>
      <c r="M249" s="2"/>
      <c r="N249" s="5">
        <v>46146</v>
      </c>
      <c r="O249" s="2" t="s">
        <v>208</v>
      </c>
    </row>
    <row r="250" spans="1:15" ht="28.8" x14ac:dyDescent="0.3">
      <c r="A250" s="2" t="s">
        <v>640</v>
      </c>
      <c r="B250" s="2" t="s">
        <v>180</v>
      </c>
      <c r="C250" s="2" t="s">
        <v>181</v>
      </c>
      <c r="D250" s="2" t="s">
        <v>222</v>
      </c>
      <c r="E250" s="2" t="s">
        <v>29</v>
      </c>
      <c r="F250" s="2" t="s">
        <v>239</v>
      </c>
      <c r="G250" s="2" t="s">
        <v>60</v>
      </c>
      <c r="H250" s="2" t="s">
        <v>60</v>
      </c>
      <c r="I250" s="5">
        <v>46138</v>
      </c>
      <c r="J250" s="2" t="s">
        <v>205</v>
      </c>
      <c r="K250" s="2" t="s">
        <v>224</v>
      </c>
      <c r="L250" s="2" t="s">
        <v>641</v>
      </c>
      <c r="M250" s="2"/>
      <c r="N250" s="5">
        <v>46146</v>
      </c>
      <c r="O250" s="2" t="s">
        <v>208</v>
      </c>
    </row>
    <row r="251" spans="1:15" ht="28.8" x14ac:dyDescent="0.3">
      <c r="A251" s="2" t="s">
        <v>642</v>
      </c>
      <c r="B251" s="2" t="s">
        <v>180</v>
      </c>
      <c r="C251" s="2" t="s">
        <v>181</v>
      </c>
      <c r="D251" s="2" t="s">
        <v>222</v>
      </c>
      <c r="E251" s="2" t="s">
        <v>30</v>
      </c>
      <c r="F251" s="2" t="s">
        <v>242</v>
      </c>
      <c r="G251" s="2" t="s">
        <v>60</v>
      </c>
      <c r="H251" s="2" t="s">
        <v>60</v>
      </c>
      <c r="I251" s="5">
        <v>46138</v>
      </c>
      <c r="J251" s="2" t="s">
        <v>205</v>
      </c>
      <c r="K251" s="2" t="s">
        <v>224</v>
      </c>
      <c r="L251" s="2" t="s">
        <v>643</v>
      </c>
      <c r="M251" s="2"/>
      <c r="N251" s="5">
        <v>46146</v>
      </c>
      <c r="O251" s="2" t="s">
        <v>208</v>
      </c>
    </row>
    <row r="252" spans="1:15" ht="28.8" x14ac:dyDescent="0.3">
      <c r="A252" s="2" t="s">
        <v>644</v>
      </c>
      <c r="B252" s="2" t="s">
        <v>180</v>
      </c>
      <c r="C252" s="2" t="s">
        <v>181</v>
      </c>
      <c r="D252" s="2" t="s">
        <v>222</v>
      </c>
      <c r="E252" s="2" t="s">
        <v>31</v>
      </c>
      <c r="F252" s="2" t="s">
        <v>245</v>
      </c>
      <c r="G252" s="2" t="s">
        <v>60</v>
      </c>
      <c r="H252" s="2" t="s">
        <v>60</v>
      </c>
      <c r="I252" s="5">
        <v>46138</v>
      </c>
      <c r="J252" s="2" t="s">
        <v>205</v>
      </c>
      <c r="K252" s="2" t="s">
        <v>224</v>
      </c>
      <c r="L252" s="2" t="s">
        <v>645</v>
      </c>
      <c r="M252" s="2"/>
      <c r="N252" s="5">
        <v>46146</v>
      </c>
      <c r="O252" s="2" t="s">
        <v>208</v>
      </c>
    </row>
    <row r="253" spans="1:15" ht="28.8" x14ac:dyDescent="0.3">
      <c r="A253" s="2" t="s">
        <v>646</v>
      </c>
      <c r="B253" s="2" t="s">
        <v>180</v>
      </c>
      <c r="C253" s="2" t="s">
        <v>181</v>
      </c>
      <c r="D253" s="2" t="s">
        <v>222</v>
      </c>
      <c r="E253" s="2" t="s">
        <v>32</v>
      </c>
      <c r="F253" s="2" t="s">
        <v>248</v>
      </c>
      <c r="G253" s="2" t="s">
        <v>60</v>
      </c>
      <c r="H253" s="2" t="s">
        <v>58</v>
      </c>
      <c r="I253" s="5"/>
      <c r="J253" s="2" t="s">
        <v>255</v>
      </c>
      <c r="K253" s="2" t="s">
        <v>224</v>
      </c>
      <c r="L253" s="2"/>
      <c r="M253" s="2" t="s">
        <v>256</v>
      </c>
      <c r="N253" s="5"/>
      <c r="O253" s="2" t="s">
        <v>208</v>
      </c>
    </row>
    <row r="254" spans="1:15" ht="28.8" x14ac:dyDescent="0.3">
      <c r="A254" s="2" t="s">
        <v>647</v>
      </c>
      <c r="B254" s="2" t="s">
        <v>180</v>
      </c>
      <c r="C254" s="2" t="s">
        <v>181</v>
      </c>
      <c r="D254" s="2" t="s">
        <v>222</v>
      </c>
      <c r="E254" s="2" t="s">
        <v>33</v>
      </c>
      <c r="F254" s="2" t="s">
        <v>251</v>
      </c>
      <c r="G254" s="2" t="s">
        <v>60</v>
      </c>
      <c r="H254" s="2" t="s">
        <v>58</v>
      </c>
      <c r="I254" s="5"/>
      <c r="J254" s="2" t="s">
        <v>255</v>
      </c>
      <c r="K254" s="2" t="s">
        <v>224</v>
      </c>
      <c r="L254" s="2"/>
      <c r="M254" s="2" t="s">
        <v>256</v>
      </c>
      <c r="N254" s="5"/>
      <c r="O254" s="2" t="s">
        <v>208</v>
      </c>
    </row>
    <row r="255" spans="1:15" ht="28.8" x14ac:dyDescent="0.3">
      <c r="A255" s="2" t="s">
        <v>648</v>
      </c>
      <c r="B255" s="2" t="s">
        <v>180</v>
      </c>
      <c r="C255" s="2" t="s">
        <v>181</v>
      </c>
      <c r="D255" s="2" t="s">
        <v>222</v>
      </c>
      <c r="E255" s="2" t="s">
        <v>34</v>
      </c>
      <c r="F255" s="2" t="s">
        <v>254</v>
      </c>
      <c r="G255" s="2" t="s">
        <v>60</v>
      </c>
      <c r="H255" s="2" t="s">
        <v>58</v>
      </c>
      <c r="I255" s="5"/>
      <c r="J255" s="2" t="s">
        <v>255</v>
      </c>
      <c r="K255" s="2" t="s">
        <v>224</v>
      </c>
      <c r="L255" s="2"/>
      <c r="M255" s="2" t="s">
        <v>256</v>
      </c>
      <c r="N255" s="5"/>
      <c r="O255" s="2" t="s">
        <v>208</v>
      </c>
    </row>
    <row r="256" spans="1:15" ht="28.8" x14ac:dyDescent="0.3">
      <c r="A256" s="2" t="s">
        <v>649</v>
      </c>
      <c r="B256" s="2" t="s">
        <v>180</v>
      </c>
      <c r="C256" s="2" t="s">
        <v>181</v>
      </c>
      <c r="D256" s="2" t="s">
        <v>222</v>
      </c>
      <c r="E256" s="2" t="s">
        <v>35</v>
      </c>
      <c r="F256" s="2" t="s">
        <v>258</v>
      </c>
      <c r="G256" s="2" t="s">
        <v>60</v>
      </c>
      <c r="H256" s="2" t="s">
        <v>58</v>
      </c>
      <c r="I256" s="5"/>
      <c r="J256" s="2" t="s">
        <v>255</v>
      </c>
      <c r="K256" s="2" t="s">
        <v>224</v>
      </c>
      <c r="L256" s="2"/>
      <c r="M256" s="2" t="s">
        <v>256</v>
      </c>
      <c r="N256" s="5"/>
      <c r="O256" s="2" t="s">
        <v>208</v>
      </c>
    </row>
    <row r="257" spans="1:15" ht="28.8" x14ac:dyDescent="0.3">
      <c r="A257" s="2" t="s">
        <v>650</v>
      </c>
      <c r="B257" s="2" t="s">
        <v>180</v>
      </c>
      <c r="C257" s="2" t="s">
        <v>181</v>
      </c>
      <c r="D257" s="2" t="s">
        <v>222</v>
      </c>
      <c r="E257" s="2" t="s">
        <v>36</v>
      </c>
      <c r="F257" s="2" t="s">
        <v>260</v>
      </c>
      <c r="G257" s="2" t="s">
        <v>60</v>
      </c>
      <c r="H257" s="2" t="s">
        <v>58</v>
      </c>
      <c r="I257" s="5"/>
      <c r="J257" s="2" t="s">
        <v>255</v>
      </c>
      <c r="K257" s="2" t="s">
        <v>224</v>
      </c>
      <c r="L257" s="2"/>
      <c r="M257" s="2" t="s">
        <v>256</v>
      </c>
      <c r="N257" s="5"/>
      <c r="O257" s="2" t="s">
        <v>208</v>
      </c>
    </row>
  </sheetData>
  <dataValidations count="2">
    <dataValidation type="list" sqref="H2:H257" xr:uid="{00000000-0002-0000-0100-000000000000}">
      <formula1>"Sim,Não"</formula1>
    </dataValidation>
    <dataValidation type="list" sqref="J2:J257" xr:uid="{00000000-0002-0000-0100-000001000000}">
      <formula1>"Não enviado,Enviado,Em análise,Validado,Pendente de correção,Não se aplica"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workbookViewId="0"/>
  </sheetViews>
  <sheetFormatPr defaultRowHeight="14.4" x14ac:dyDescent="0.3"/>
  <cols>
    <col min="1" max="1" width="14" customWidth="1"/>
    <col min="2" max="2" width="18" customWidth="1"/>
    <col min="3" max="3" width="42" customWidth="1"/>
    <col min="4" max="4" width="14" customWidth="1"/>
    <col min="5" max="5" width="20" customWidth="1"/>
    <col min="6" max="6" width="44" customWidth="1"/>
  </cols>
  <sheetData>
    <row r="1" spans="1:6" ht="19.2" customHeight="1" x14ac:dyDescent="0.3">
      <c r="A1" s="1" t="s">
        <v>651</v>
      </c>
      <c r="B1" s="1" t="s">
        <v>190</v>
      </c>
      <c r="C1" s="1" t="s">
        <v>652</v>
      </c>
      <c r="D1" s="1" t="s">
        <v>193</v>
      </c>
      <c r="E1" s="1" t="s">
        <v>653</v>
      </c>
      <c r="F1" s="1" t="s">
        <v>201</v>
      </c>
    </row>
    <row r="2" spans="1:6" x14ac:dyDescent="0.3">
      <c r="A2" s="2" t="s">
        <v>19</v>
      </c>
      <c r="B2" s="2" t="s">
        <v>203</v>
      </c>
      <c r="C2" s="2" t="s">
        <v>204</v>
      </c>
      <c r="D2" s="2" t="s">
        <v>60</v>
      </c>
      <c r="E2" s="2" t="s">
        <v>654</v>
      </c>
      <c r="F2" s="2" t="s">
        <v>655</v>
      </c>
    </row>
    <row r="3" spans="1:6" ht="28.8" x14ac:dyDescent="0.3">
      <c r="A3" s="2" t="s">
        <v>20</v>
      </c>
      <c r="B3" s="2" t="s">
        <v>203</v>
      </c>
      <c r="C3" s="2" t="s">
        <v>210</v>
      </c>
      <c r="D3" s="2" t="s">
        <v>60</v>
      </c>
      <c r="E3" s="2" t="s">
        <v>654</v>
      </c>
      <c r="F3" s="2" t="s">
        <v>656</v>
      </c>
    </row>
    <row r="4" spans="1:6" x14ac:dyDescent="0.3">
      <c r="A4" s="2" t="s">
        <v>21</v>
      </c>
      <c r="B4" s="2" t="s">
        <v>203</v>
      </c>
      <c r="C4" s="2" t="s">
        <v>213</v>
      </c>
      <c r="D4" s="2" t="s">
        <v>60</v>
      </c>
      <c r="E4" s="2" t="s">
        <v>654</v>
      </c>
      <c r="F4" s="2" t="s">
        <v>657</v>
      </c>
    </row>
    <row r="5" spans="1:6" ht="28.8" x14ac:dyDescent="0.3">
      <c r="A5" s="2" t="s">
        <v>22</v>
      </c>
      <c r="B5" s="2" t="s">
        <v>203</v>
      </c>
      <c r="C5" s="2" t="s">
        <v>216</v>
      </c>
      <c r="D5" s="2" t="s">
        <v>60</v>
      </c>
      <c r="E5" s="2" t="s">
        <v>654</v>
      </c>
      <c r="F5" s="2" t="s">
        <v>658</v>
      </c>
    </row>
    <row r="6" spans="1:6" ht="28.8" x14ac:dyDescent="0.3">
      <c r="A6" s="2" t="s">
        <v>23</v>
      </c>
      <c r="B6" s="2" t="s">
        <v>203</v>
      </c>
      <c r="C6" s="2" t="s">
        <v>219</v>
      </c>
      <c r="D6" s="2" t="s">
        <v>60</v>
      </c>
      <c r="E6" s="2" t="s">
        <v>654</v>
      </c>
      <c r="F6" s="2" t="s">
        <v>659</v>
      </c>
    </row>
    <row r="7" spans="1:6" ht="28.8" x14ac:dyDescent="0.3">
      <c r="A7" s="2" t="s">
        <v>24</v>
      </c>
      <c r="B7" s="2" t="s">
        <v>222</v>
      </c>
      <c r="C7" s="2" t="s">
        <v>223</v>
      </c>
      <c r="D7" s="2" t="s">
        <v>60</v>
      </c>
      <c r="E7" s="2" t="s">
        <v>654</v>
      </c>
      <c r="F7" s="2" t="s">
        <v>660</v>
      </c>
    </row>
    <row r="8" spans="1:6" ht="28.8" x14ac:dyDescent="0.3">
      <c r="A8" s="2" t="s">
        <v>25</v>
      </c>
      <c r="B8" s="2" t="s">
        <v>222</v>
      </c>
      <c r="C8" s="2" t="s">
        <v>227</v>
      </c>
      <c r="D8" s="2" t="s">
        <v>60</v>
      </c>
      <c r="E8" s="2" t="s">
        <v>654</v>
      </c>
      <c r="F8" s="2" t="s">
        <v>660</v>
      </c>
    </row>
    <row r="9" spans="1:6" ht="28.8" x14ac:dyDescent="0.3">
      <c r="A9" s="2" t="s">
        <v>26</v>
      </c>
      <c r="B9" s="2" t="s">
        <v>222</v>
      </c>
      <c r="C9" s="2" t="s">
        <v>230</v>
      </c>
      <c r="D9" s="2" t="s">
        <v>60</v>
      </c>
      <c r="E9" s="2" t="s">
        <v>654</v>
      </c>
      <c r="F9" s="2" t="s">
        <v>660</v>
      </c>
    </row>
    <row r="10" spans="1:6" ht="28.8" x14ac:dyDescent="0.3">
      <c r="A10" s="2" t="s">
        <v>27</v>
      </c>
      <c r="B10" s="2" t="s">
        <v>222</v>
      </c>
      <c r="C10" s="2" t="s">
        <v>233</v>
      </c>
      <c r="D10" s="2" t="s">
        <v>60</v>
      </c>
      <c r="E10" s="2" t="s">
        <v>654</v>
      </c>
      <c r="F10" s="2" t="s">
        <v>660</v>
      </c>
    </row>
    <row r="11" spans="1:6" ht="28.8" x14ac:dyDescent="0.3">
      <c r="A11" s="2" t="s">
        <v>28</v>
      </c>
      <c r="B11" s="2" t="s">
        <v>222</v>
      </c>
      <c r="C11" s="2" t="s">
        <v>236</v>
      </c>
      <c r="D11" s="2" t="s">
        <v>60</v>
      </c>
      <c r="E11" s="2" t="s">
        <v>654</v>
      </c>
      <c r="F11" s="2" t="s">
        <v>660</v>
      </c>
    </row>
    <row r="12" spans="1:6" ht="28.8" x14ac:dyDescent="0.3">
      <c r="A12" s="2" t="s">
        <v>29</v>
      </c>
      <c r="B12" s="2" t="s">
        <v>222</v>
      </c>
      <c r="C12" s="2" t="s">
        <v>239</v>
      </c>
      <c r="D12" s="2" t="s">
        <v>60</v>
      </c>
      <c r="E12" s="2" t="s">
        <v>654</v>
      </c>
      <c r="F12" s="2" t="s">
        <v>660</v>
      </c>
    </row>
    <row r="13" spans="1:6" ht="28.8" x14ac:dyDescent="0.3">
      <c r="A13" s="2" t="s">
        <v>30</v>
      </c>
      <c r="B13" s="2" t="s">
        <v>222</v>
      </c>
      <c r="C13" s="2" t="s">
        <v>242</v>
      </c>
      <c r="D13" s="2" t="s">
        <v>60</v>
      </c>
      <c r="E13" s="2" t="s">
        <v>654</v>
      </c>
      <c r="F13" s="2" t="s">
        <v>660</v>
      </c>
    </row>
    <row r="14" spans="1:6" ht="28.8" x14ac:dyDescent="0.3">
      <c r="A14" s="2" t="s">
        <v>31</v>
      </c>
      <c r="B14" s="2" t="s">
        <v>222</v>
      </c>
      <c r="C14" s="2" t="s">
        <v>245</v>
      </c>
      <c r="D14" s="2" t="s">
        <v>60</v>
      </c>
      <c r="E14" s="2" t="s">
        <v>654</v>
      </c>
      <c r="F14" s="2" t="s">
        <v>660</v>
      </c>
    </row>
    <row r="15" spans="1:6" ht="28.8" x14ac:dyDescent="0.3">
      <c r="A15" s="2" t="s">
        <v>32</v>
      </c>
      <c r="B15" s="2" t="s">
        <v>222</v>
      </c>
      <c r="C15" s="2" t="s">
        <v>248</v>
      </c>
      <c r="D15" s="2" t="s">
        <v>60</v>
      </c>
      <c r="E15" s="2" t="s">
        <v>654</v>
      </c>
      <c r="F15" s="2" t="s">
        <v>660</v>
      </c>
    </row>
    <row r="16" spans="1:6" ht="28.8" x14ac:dyDescent="0.3">
      <c r="A16" s="2" t="s">
        <v>33</v>
      </c>
      <c r="B16" s="2" t="s">
        <v>222</v>
      </c>
      <c r="C16" s="2" t="s">
        <v>251</v>
      </c>
      <c r="D16" s="2" t="s">
        <v>60</v>
      </c>
      <c r="E16" s="2" t="s">
        <v>654</v>
      </c>
      <c r="F16" s="2" t="s">
        <v>660</v>
      </c>
    </row>
    <row r="17" spans="1:6" ht="28.8" x14ac:dyDescent="0.3">
      <c r="A17" s="2" t="s">
        <v>34</v>
      </c>
      <c r="B17" s="2" t="s">
        <v>222</v>
      </c>
      <c r="C17" s="2" t="s">
        <v>254</v>
      </c>
      <c r="D17" s="2" t="s">
        <v>60</v>
      </c>
      <c r="E17" s="2" t="s">
        <v>654</v>
      </c>
      <c r="F17" s="2" t="s">
        <v>660</v>
      </c>
    </row>
    <row r="18" spans="1:6" ht="28.8" x14ac:dyDescent="0.3">
      <c r="A18" s="2" t="s">
        <v>35</v>
      </c>
      <c r="B18" s="2" t="s">
        <v>222</v>
      </c>
      <c r="C18" s="2" t="s">
        <v>258</v>
      </c>
      <c r="D18" s="2" t="s">
        <v>60</v>
      </c>
      <c r="E18" s="2" t="s">
        <v>654</v>
      </c>
      <c r="F18" s="2" t="s">
        <v>660</v>
      </c>
    </row>
    <row r="19" spans="1:6" ht="28.8" x14ac:dyDescent="0.3">
      <c r="A19" s="2" t="s">
        <v>36</v>
      </c>
      <c r="B19" s="2" t="s">
        <v>222</v>
      </c>
      <c r="C19" s="2" t="s">
        <v>260</v>
      </c>
      <c r="D19" s="2" t="s">
        <v>60</v>
      </c>
      <c r="E19" s="2" t="s">
        <v>654</v>
      </c>
      <c r="F19" s="2" t="s">
        <v>660</v>
      </c>
    </row>
    <row r="20" spans="1:6" ht="28.8" x14ac:dyDescent="0.3">
      <c r="A20" s="2" t="s">
        <v>436</v>
      </c>
      <c r="B20" s="2" t="s">
        <v>435</v>
      </c>
      <c r="C20" s="2" t="s">
        <v>437</v>
      </c>
      <c r="D20" s="2" t="s">
        <v>60</v>
      </c>
      <c r="E20" s="2" t="s">
        <v>661</v>
      </c>
      <c r="F20" s="2" t="s">
        <v>662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9"/>
  <sheetViews>
    <sheetView workbookViewId="0"/>
  </sheetViews>
  <sheetFormatPr defaultRowHeight="14.4" x14ac:dyDescent="0.3"/>
  <cols>
    <col min="1" max="1" width="8" customWidth="1"/>
    <col min="2" max="2" width="38" customWidth="1"/>
    <col min="3" max="3" width="20" customWidth="1"/>
    <col min="4" max="4" width="22" customWidth="1"/>
    <col min="5" max="5" width="20" customWidth="1"/>
    <col min="6" max="6" width="30" customWidth="1"/>
    <col min="7" max="7" width="16" customWidth="1"/>
    <col min="8" max="9" width="14" customWidth="1"/>
    <col min="10" max="10" width="10" customWidth="1"/>
  </cols>
  <sheetData>
    <row r="1" spans="1:10" ht="19.2" customHeight="1" x14ac:dyDescent="0.3">
      <c r="A1" s="1" t="s">
        <v>1</v>
      </c>
      <c r="B1" s="1" t="s">
        <v>663</v>
      </c>
      <c r="C1" s="1" t="s">
        <v>664</v>
      </c>
      <c r="D1" s="1" t="s">
        <v>665</v>
      </c>
      <c r="E1" s="1" t="s">
        <v>9</v>
      </c>
      <c r="F1" s="1" t="s">
        <v>666</v>
      </c>
      <c r="G1" s="1" t="s">
        <v>667</v>
      </c>
      <c r="H1" s="1" t="s">
        <v>668</v>
      </c>
      <c r="I1" s="1" t="s">
        <v>669</v>
      </c>
      <c r="J1" s="1" t="s">
        <v>670</v>
      </c>
    </row>
    <row r="2" spans="1:10" ht="28.8" x14ac:dyDescent="0.3">
      <c r="A2" s="2" t="s">
        <v>47</v>
      </c>
      <c r="B2" s="2" t="s">
        <v>52</v>
      </c>
      <c r="C2" s="2" t="s">
        <v>671</v>
      </c>
      <c r="D2" s="2" t="s">
        <v>53</v>
      </c>
      <c r="E2" s="2" t="s">
        <v>54</v>
      </c>
      <c r="F2" s="2" t="s">
        <v>55</v>
      </c>
      <c r="G2" s="2" t="s">
        <v>672</v>
      </c>
      <c r="H2" s="5">
        <v>46023</v>
      </c>
      <c r="I2" s="5"/>
      <c r="J2" s="2" t="s">
        <v>60</v>
      </c>
    </row>
    <row r="3" spans="1:10" ht="28.8" x14ac:dyDescent="0.3">
      <c r="A3" s="2" t="s">
        <v>47</v>
      </c>
      <c r="B3" s="2" t="s">
        <v>52</v>
      </c>
      <c r="C3" s="2" t="s">
        <v>673</v>
      </c>
      <c r="D3" s="2" t="s">
        <v>56</v>
      </c>
      <c r="E3" s="2" t="s">
        <v>674</v>
      </c>
      <c r="F3" s="2" t="s">
        <v>57</v>
      </c>
      <c r="G3" s="2" t="s">
        <v>675</v>
      </c>
      <c r="H3" s="5">
        <v>46023</v>
      </c>
      <c r="I3" s="5"/>
      <c r="J3" s="2" t="s">
        <v>60</v>
      </c>
    </row>
    <row r="4" spans="1:10" ht="28.8" x14ac:dyDescent="0.3">
      <c r="A4" s="2" t="s">
        <v>64</v>
      </c>
      <c r="B4" s="2" t="s">
        <v>68</v>
      </c>
      <c r="C4" s="2" t="s">
        <v>671</v>
      </c>
      <c r="D4" s="2" t="s">
        <v>69</v>
      </c>
      <c r="E4" s="2" t="s">
        <v>54</v>
      </c>
      <c r="F4" s="2" t="s">
        <v>70</v>
      </c>
      <c r="G4" s="2" t="s">
        <v>676</v>
      </c>
      <c r="H4" s="5">
        <v>46023</v>
      </c>
      <c r="I4" s="5"/>
      <c r="J4" s="2" t="s">
        <v>60</v>
      </c>
    </row>
    <row r="5" spans="1:10" ht="28.8" x14ac:dyDescent="0.3">
      <c r="A5" s="2" t="s">
        <v>64</v>
      </c>
      <c r="B5" s="2" t="s">
        <v>68</v>
      </c>
      <c r="C5" s="2" t="s">
        <v>673</v>
      </c>
      <c r="D5" s="2" t="s">
        <v>71</v>
      </c>
      <c r="E5" s="2" t="s">
        <v>674</v>
      </c>
      <c r="F5" s="2" t="s">
        <v>72</v>
      </c>
      <c r="G5" s="2" t="s">
        <v>677</v>
      </c>
      <c r="H5" s="5">
        <v>46023</v>
      </c>
      <c r="I5" s="5"/>
      <c r="J5" s="2" t="s">
        <v>60</v>
      </c>
    </row>
    <row r="6" spans="1:10" ht="28.8" x14ac:dyDescent="0.3">
      <c r="A6" s="2" t="s">
        <v>74</v>
      </c>
      <c r="B6" s="2" t="s">
        <v>78</v>
      </c>
      <c r="C6" s="2" t="s">
        <v>671</v>
      </c>
      <c r="D6" s="2" t="s">
        <v>79</v>
      </c>
      <c r="E6" s="2" t="s">
        <v>54</v>
      </c>
      <c r="F6" s="2" t="s">
        <v>80</v>
      </c>
      <c r="G6" s="2" t="s">
        <v>678</v>
      </c>
      <c r="H6" s="5">
        <v>46023</v>
      </c>
      <c r="I6" s="5"/>
      <c r="J6" s="2" t="s">
        <v>60</v>
      </c>
    </row>
    <row r="7" spans="1:10" ht="28.8" x14ac:dyDescent="0.3">
      <c r="A7" s="2" t="s">
        <v>74</v>
      </c>
      <c r="B7" s="2" t="s">
        <v>78</v>
      </c>
      <c r="C7" s="2" t="s">
        <v>673</v>
      </c>
      <c r="D7" s="2" t="s">
        <v>81</v>
      </c>
      <c r="E7" s="2" t="s">
        <v>674</v>
      </c>
      <c r="F7" s="2" t="s">
        <v>82</v>
      </c>
      <c r="G7" s="2" t="s">
        <v>679</v>
      </c>
      <c r="H7" s="5">
        <v>46023</v>
      </c>
      <c r="I7" s="5"/>
      <c r="J7" s="2" t="s">
        <v>60</v>
      </c>
    </row>
    <row r="8" spans="1:10" ht="28.8" x14ac:dyDescent="0.3">
      <c r="A8" s="2" t="s">
        <v>84</v>
      </c>
      <c r="B8" s="2" t="s">
        <v>88</v>
      </c>
      <c r="C8" s="2" t="s">
        <v>671</v>
      </c>
      <c r="D8" s="2" t="s">
        <v>89</v>
      </c>
      <c r="E8" s="2" t="s">
        <v>54</v>
      </c>
      <c r="F8" s="2" t="s">
        <v>90</v>
      </c>
      <c r="G8" s="2" t="s">
        <v>680</v>
      </c>
      <c r="H8" s="5">
        <v>46023</v>
      </c>
      <c r="I8" s="5"/>
      <c r="J8" s="2" t="s">
        <v>60</v>
      </c>
    </row>
    <row r="9" spans="1:10" ht="28.8" x14ac:dyDescent="0.3">
      <c r="A9" s="2" t="s">
        <v>84</v>
      </c>
      <c r="B9" s="2" t="s">
        <v>88</v>
      </c>
      <c r="C9" s="2" t="s">
        <v>673</v>
      </c>
      <c r="D9" s="2" t="s">
        <v>91</v>
      </c>
      <c r="E9" s="2" t="s">
        <v>674</v>
      </c>
      <c r="F9" s="2" t="s">
        <v>92</v>
      </c>
      <c r="G9" s="2" t="s">
        <v>681</v>
      </c>
      <c r="H9" s="5">
        <v>46023</v>
      </c>
      <c r="I9" s="5"/>
      <c r="J9" s="2" t="s">
        <v>60</v>
      </c>
    </row>
    <row r="10" spans="1:10" ht="28.8" x14ac:dyDescent="0.3">
      <c r="A10" s="2" t="s">
        <v>94</v>
      </c>
      <c r="B10" s="2" t="s">
        <v>98</v>
      </c>
      <c r="C10" s="2" t="s">
        <v>671</v>
      </c>
      <c r="D10" s="2" t="s">
        <v>99</v>
      </c>
      <c r="E10" s="2" t="s">
        <v>54</v>
      </c>
      <c r="F10" s="2" t="s">
        <v>100</v>
      </c>
      <c r="G10" s="2" t="s">
        <v>682</v>
      </c>
      <c r="H10" s="5">
        <v>46023</v>
      </c>
      <c r="I10" s="5"/>
      <c r="J10" s="2" t="s">
        <v>60</v>
      </c>
    </row>
    <row r="11" spans="1:10" ht="28.8" x14ac:dyDescent="0.3">
      <c r="A11" s="2" t="s">
        <v>94</v>
      </c>
      <c r="B11" s="2" t="s">
        <v>98</v>
      </c>
      <c r="C11" s="2" t="s">
        <v>673</v>
      </c>
      <c r="D11" s="2" t="s">
        <v>101</v>
      </c>
      <c r="E11" s="2" t="s">
        <v>674</v>
      </c>
      <c r="F11" s="2" t="s">
        <v>102</v>
      </c>
      <c r="G11" s="2" t="s">
        <v>683</v>
      </c>
      <c r="H11" s="5">
        <v>46023</v>
      </c>
      <c r="I11" s="5"/>
      <c r="J11" s="2" t="s">
        <v>60</v>
      </c>
    </row>
    <row r="12" spans="1:10" ht="28.8" x14ac:dyDescent="0.3">
      <c r="A12" s="2" t="s">
        <v>104</v>
      </c>
      <c r="B12" s="2" t="s">
        <v>108</v>
      </c>
      <c r="C12" s="2" t="s">
        <v>671</v>
      </c>
      <c r="D12" s="2" t="s">
        <v>109</v>
      </c>
      <c r="E12" s="2" t="s">
        <v>54</v>
      </c>
      <c r="F12" s="2" t="s">
        <v>110</v>
      </c>
      <c r="G12" s="2" t="s">
        <v>684</v>
      </c>
      <c r="H12" s="5">
        <v>46023</v>
      </c>
      <c r="I12" s="5"/>
      <c r="J12" s="2" t="s">
        <v>60</v>
      </c>
    </row>
    <row r="13" spans="1:10" ht="28.8" x14ac:dyDescent="0.3">
      <c r="A13" s="2" t="s">
        <v>104</v>
      </c>
      <c r="B13" s="2" t="s">
        <v>108</v>
      </c>
      <c r="C13" s="2" t="s">
        <v>673</v>
      </c>
      <c r="D13" s="2" t="s">
        <v>111</v>
      </c>
      <c r="E13" s="2" t="s">
        <v>674</v>
      </c>
      <c r="F13" s="2" t="s">
        <v>112</v>
      </c>
      <c r="G13" s="2" t="s">
        <v>685</v>
      </c>
      <c r="H13" s="5">
        <v>46023</v>
      </c>
      <c r="I13" s="5"/>
      <c r="J13" s="2" t="s">
        <v>60</v>
      </c>
    </row>
    <row r="14" spans="1:10" ht="28.8" x14ac:dyDescent="0.3">
      <c r="A14" s="2" t="s">
        <v>114</v>
      </c>
      <c r="B14" s="2" t="s">
        <v>118</v>
      </c>
      <c r="C14" s="2" t="s">
        <v>671</v>
      </c>
      <c r="D14" s="2" t="s">
        <v>119</v>
      </c>
      <c r="E14" s="2" t="s">
        <v>54</v>
      </c>
      <c r="F14" s="2" t="s">
        <v>120</v>
      </c>
      <c r="G14" s="2" t="s">
        <v>686</v>
      </c>
      <c r="H14" s="5">
        <v>46023</v>
      </c>
      <c r="I14" s="5"/>
      <c r="J14" s="2" t="s">
        <v>60</v>
      </c>
    </row>
    <row r="15" spans="1:10" ht="28.8" x14ac:dyDescent="0.3">
      <c r="A15" s="2" t="s">
        <v>114</v>
      </c>
      <c r="B15" s="2" t="s">
        <v>118</v>
      </c>
      <c r="C15" s="2" t="s">
        <v>673</v>
      </c>
      <c r="D15" s="2" t="s">
        <v>121</v>
      </c>
      <c r="E15" s="2" t="s">
        <v>674</v>
      </c>
      <c r="F15" s="2" t="s">
        <v>122</v>
      </c>
      <c r="G15" s="2" t="s">
        <v>687</v>
      </c>
      <c r="H15" s="5">
        <v>46023</v>
      </c>
      <c r="I15" s="5"/>
      <c r="J15" s="2" t="s">
        <v>60</v>
      </c>
    </row>
    <row r="16" spans="1:10" ht="28.8" x14ac:dyDescent="0.3">
      <c r="A16" s="2" t="s">
        <v>124</v>
      </c>
      <c r="B16" s="2" t="s">
        <v>127</v>
      </c>
      <c r="C16" s="2" t="s">
        <v>671</v>
      </c>
      <c r="D16" s="2" t="s">
        <v>128</v>
      </c>
      <c r="E16" s="2" t="s">
        <v>54</v>
      </c>
      <c r="F16" s="2" t="s">
        <v>129</v>
      </c>
      <c r="G16" s="2" t="s">
        <v>688</v>
      </c>
      <c r="H16" s="5">
        <v>46023</v>
      </c>
      <c r="I16" s="5"/>
      <c r="J16" s="2" t="s">
        <v>60</v>
      </c>
    </row>
    <row r="17" spans="1:10" ht="28.8" x14ac:dyDescent="0.3">
      <c r="A17" s="2" t="s">
        <v>124</v>
      </c>
      <c r="B17" s="2" t="s">
        <v>127</v>
      </c>
      <c r="C17" s="2" t="s">
        <v>673</v>
      </c>
      <c r="D17" s="2" t="s">
        <v>130</v>
      </c>
      <c r="E17" s="2" t="s">
        <v>674</v>
      </c>
      <c r="F17" s="2" t="s">
        <v>131</v>
      </c>
      <c r="G17" s="2" t="s">
        <v>689</v>
      </c>
      <c r="H17" s="5">
        <v>46023</v>
      </c>
      <c r="I17" s="5"/>
      <c r="J17" s="2" t="s">
        <v>60</v>
      </c>
    </row>
    <row r="18" spans="1:10" ht="28.8" x14ac:dyDescent="0.3">
      <c r="A18" s="2" t="s">
        <v>133</v>
      </c>
      <c r="B18" s="2" t="s">
        <v>137</v>
      </c>
      <c r="C18" s="2" t="s">
        <v>671</v>
      </c>
      <c r="D18" s="2" t="s">
        <v>138</v>
      </c>
      <c r="E18" s="2" t="s">
        <v>54</v>
      </c>
      <c r="F18" s="2" t="s">
        <v>139</v>
      </c>
      <c r="G18" s="2" t="s">
        <v>690</v>
      </c>
      <c r="H18" s="5">
        <v>46023</v>
      </c>
      <c r="I18" s="5"/>
      <c r="J18" s="2" t="s">
        <v>60</v>
      </c>
    </row>
    <row r="19" spans="1:10" ht="28.8" x14ac:dyDescent="0.3">
      <c r="A19" s="2" t="s">
        <v>133</v>
      </c>
      <c r="B19" s="2" t="s">
        <v>137</v>
      </c>
      <c r="C19" s="2" t="s">
        <v>673</v>
      </c>
      <c r="D19" s="2" t="s">
        <v>140</v>
      </c>
      <c r="E19" s="2" t="s">
        <v>674</v>
      </c>
      <c r="F19" s="2" t="s">
        <v>141</v>
      </c>
      <c r="G19" s="2" t="s">
        <v>691</v>
      </c>
      <c r="H19" s="5">
        <v>46023</v>
      </c>
      <c r="I19" s="5"/>
      <c r="J19" s="2" t="s">
        <v>60</v>
      </c>
    </row>
    <row r="20" spans="1:10" ht="28.8" x14ac:dyDescent="0.3">
      <c r="A20" s="2" t="s">
        <v>143</v>
      </c>
      <c r="B20" s="2" t="s">
        <v>147</v>
      </c>
      <c r="C20" s="2" t="s">
        <v>671</v>
      </c>
      <c r="D20" s="2" t="s">
        <v>148</v>
      </c>
      <c r="E20" s="2" t="s">
        <v>54</v>
      </c>
      <c r="F20" s="2" t="s">
        <v>149</v>
      </c>
      <c r="G20" s="2" t="s">
        <v>692</v>
      </c>
      <c r="H20" s="5">
        <v>46023</v>
      </c>
      <c r="I20" s="5"/>
      <c r="J20" s="2" t="s">
        <v>60</v>
      </c>
    </row>
    <row r="21" spans="1:10" ht="28.8" x14ac:dyDescent="0.3">
      <c r="A21" s="2" t="s">
        <v>143</v>
      </c>
      <c r="B21" s="2" t="s">
        <v>147</v>
      </c>
      <c r="C21" s="2" t="s">
        <v>673</v>
      </c>
      <c r="D21" s="2" t="s">
        <v>150</v>
      </c>
      <c r="E21" s="2" t="s">
        <v>674</v>
      </c>
      <c r="F21" s="2" t="s">
        <v>151</v>
      </c>
      <c r="G21" s="2" t="s">
        <v>693</v>
      </c>
      <c r="H21" s="5">
        <v>46023</v>
      </c>
      <c r="I21" s="5"/>
      <c r="J21" s="2" t="s">
        <v>60</v>
      </c>
    </row>
    <row r="22" spans="1:10" ht="28.8" x14ac:dyDescent="0.3">
      <c r="A22" s="2" t="s">
        <v>153</v>
      </c>
      <c r="B22" s="2" t="s">
        <v>157</v>
      </c>
      <c r="C22" s="2" t="s">
        <v>671</v>
      </c>
      <c r="D22" s="2" t="s">
        <v>158</v>
      </c>
      <c r="E22" s="2" t="s">
        <v>54</v>
      </c>
      <c r="F22" s="2" t="s">
        <v>159</v>
      </c>
      <c r="G22" s="2" t="s">
        <v>694</v>
      </c>
      <c r="H22" s="5">
        <v>46023</v>
      </c>
      <c r="I22" s="5"/>
      <c r="J22" s="2" t="s">
        <v>60</v>
      </c>
    </row>
    <row r="23" spans="1:10" ht="28.8" x14ac:dyDescent="0.3">
      <c r="A23" s="2" t="s">
        <v>153</v>
      </c>
      <c r="B23" s="2" t="s">
        <v>157</v>
      </c>
      <c r="C23" s="2" t="s">
        <v>673</v>
      </c>
      <c r="D23" s="2" t="s">
        <v>160</v>
      </c>
      <c r="E23" s="2" t="s">
        <v>674</v>
      </c>
      <c r="F23" s="2" t="s">
        <v>161</v>
      </c>
      <c r="G23" s="2" t="s">
        <v>695</v>
      </c>
      <c r="H23" s="5">
        <v>46023</v>
      </c>
      <c r="I23" s="5"/>
      <c r="J23" s="2" t="s">
        <v>60</v>
      </c>
    </row>
    <row r="24" spans="1:10" ht="28.8" x14ac:dyDescent="0.3">
      <c r="A24" s="2" t="s">
        <v>163</v>
      </c>
      <c r="B24" s="2" t="s">
        <v>166</v>
      </c>
      <c r="C24" s="2" t="s">
        <v>671</v>
      </c>
      <c r="D24" s="2" t="s">
        <v>167</v>
      </c>
      <c r="E24" s="2" t="s">
        <v>54</v>
      </c>
      <c r="F24" s="2" t="s">
        <v>168</v>
      </c>
      <c r="G24" s="2" t="s">
        <v>696</v>
      </c>
      <c r="H24" s="5">
        <v>46023</v>
      </c>
      <c r="I24" s="5"/>
      <c r="J24" s="2" t="s">
        <v>60</v>
      </c>
    </row>
    <row r="25" spans="1:10" ht="28.8" x14ac:dyDescent="0.3">
      <c r="A25" s="2" t="s">
        <v>163</v>
      </c>
      <c r="B25" s="2" t="s">
        <v>166</v>
      </c>
      <c r="C25" s="2" t="s">
        <v>673</v>
      </c>
      <c r="D25" s="2" t="s">
        <v>169</v>
      </c>
      <c r="E25" s="2" t="s">
        <v>674</v>
      </c>
      <c r="F25" s="2" t="s">
        <v>170</v>
      </c>
      <c r="G25" s="2" t="s">
        <v>697</v>
      </c>
      <c r="H25" s="5">
        <v>46023</v>
      </c>
      <c r="I25" s="5"/>
      <c r="J25" s="2" t="s">
        <v>60</v>
      </c>
    </row>
    <row r="26" spans="1:10" ht="28.8" x14ac:dyDescent="0.3">
      <c r="A26" s="2" t="s">
        <v>172</v>
      </c>
      <c r="B26" s="2" t="s">
        <v>175</v>
      </c>
      <c r="C26" s="2" t="s">
        <v>671</v>
      </c>
      <c r="D26" s="2" t="s">
        <v>176</v>
      </c>
      <c r="E26" s="2" t="s">
        <v>54</v>
      </c>
      <c r="F26" s="2" t="s">
        <v>177</v>
      </c>
      <c r="G26" s="2" t="s">
        <v>698</v>
      </c>
      <c r="H26" s="5">
        <v>46023</v>
      </c>
      <c r="I26" s="5"/>
      <c r="J26" s="2" t="s">
        <v>60</v>
      </c>
    </row>
    <row r="27" spans="1:10" ht="28.8" x14ac:dyDescent="0.3">
      <c r="A27" s="2" t="s">
        <v>172</v>
      </c>
      <c r="B27" s="2" t="s">
        <v>175</v>
      </c>
      <c r="C27" s="2" t="s">
        <v>673</v>
      </c>
      <c r="D27" s="2" t="s">
        <v>178</v>
      </c>
      <c r="E27" s="2" t="s">
        <v>674</v>
      </c>
      <c r="F27" s="2" t="s">
        <v>179</v>
      </c>
      <c r="G27" s="2" t="s">
        <v>699</v>
      </c>
      <c r="H27" s="5">
        <v>46023</v>
      </c>
      <c r="I27" s="5"/>
      <c r="J27" s="2" t="s">
        <v>60</v>
      </c>
    </row>
    <row r="28" spans="1:10" ht="28.8" x14ac:dyDescent="0.3">
      <c r="A28" s="2" t="s">
        <v>181</v>
      </c>
      <c r="B28" s="2" t="s">
        <v>184</v>
      </c>
      <c r="C28" s="2" t="s">
        <v>671</v>
      </c>
      <c r="D28" s="2" t="s">
        <v>185</v>
      </c>
      <c r="E28" s="2" t="s">
        <v>54</v>
      </c>
      <c r="F28" s="2" t="s">
        <v>186</v>
      </c>
      <c r="G28" s="2" t="s">
        <v>700</v>
      </c>
      <c r="H28" s="5">
        <v>46023</v>
      </c>
      <c r="I28" s="5"/>
      <c r="J28" s="2" t="s">
        <v>60</v>
      </c>
    </row>
    <row r="29" spans="1:10" ht="28.8" x14ac:dyDescent="0.3">
      <c r="A29" s="2" t="s">
        <v>181</v>
      </c>
      <c r="B29" s="2" t="s">
        <v>184</v>
      </c>
      <c r="C29" s="2" t="s">
        <v>673</v>
      </c>
      <c r="D29" s="2" t="s">
        <v>187</v>
      </c>
      <c r="E29" s="2" t="s">
        <v>674</v>
      </c>
      <c r="F29" s="2" t="s">
        <v>188</v>
      </c>
      <c r="G29" s="2" t="s">
        <v>701</v>
      </c>
      <c r="H29" s="5">
        <v>46023</v>
      </c>
      <c r="I29" s="5"/>
      <c r="J29" s="2" t="s">
        <v>60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9"/>
  <sheetViews>
    <sheetView workbookViewId="0">
      <selection activeCell="B29" sqref="B29"/>
    </sheetView>
  </sheetViews>
  <sheetFormatPr defaultRowHeight="14.4" x14ac:dyDescent="0.3"/>
  <cols>
    <col min="1" max="1" width="22" customWidth="1"/>
    <col min="2" max="2" width="30" customWidth="1"/>
  </cols>
  <sheetData>
    <row r="1" spans="1:2" ht="19.2" customHeight="1" x14ac:dyDescent="0.3">
      <c r="A1" s="1" t="s">
        <v>702</v>
      </c>
      <c r="B1" s="1" t="s">
        <v>703</v>
      </c>
    </row>
    <row r="2" spans="1:2" x14ac:dyDescent="0.3">
      <c r="A2" s="2" t="s">
        <v>6</v>
      </c>
      <c r="B2" s="2" t="s">
        <v>704</v>
      </c>
    </row>
    <row r="3" spans="1:2" x14ac:dyDescent="0.3">
      <c r="A3" s="2" t="s">
        <v>6</v>
      </c>
      <c r="B3" s="2" t="s">
        <v>705</v>
      </c>
    </row>
    <row r="4" spans="1:2" x14ac:dyDescent="0.3">
      <c r="A4" s="2" t="s">
        <v>6</v>
      </c>
      <c r="B4" s="2" t="s">
        <v>97</v>
      </c>
    </row>
    <row r="5" spans="1:2" x14ac:dyDescent="0.3">
      <c r="A5" s="2" t="s">
        <v>6</v>
      </c>
      <c r="B5" s="2" t="s">
        <v>136</v>
      </c>
    </row>
    <row r="6" spans="1:2" x14ac:dyDescent="0.3">
      <c r="A6" s="2" t="s">
        <v>6</v>
      </c>
      <c r="B6" s="2" t="s">
        <v>107</v>
      </c>
    </row>
    <row r="7" spans="1:2" x14ac:dyDescent="0.3">
      <c r="A7" s="2" t="s">
        <v>6</v>
      </c>
      <c r="B7" s="2" t="s">
        <v>77</v>
      </c>
    </row>
    <row r="8" spans="1:2" x14ac:dyDescent="0.3">
      <c r="A8" s="2" t="s">
        <v>6</v>
      </c>
      <c r="B8" s="2" t="s">
        <v>51</v>
      </c>
    </row>
    <row r="9" spans="1:2" x14ac:dyDescent="0.3">
      <c r="A9" s="2" t="s">
        <v>6</v>
      </c>
      <c r="B9" s="2" t="s">
        <v>67</v>
      </c>
    </row>
    <row r="10" spans="1:2" x14ac:dyDescent="0.3">
      <c r="A10" s="2" t="s">
        <v>6</v>
      </c>
      <c r="B10" s="2" t="s">
        <v>156</v>
      </c>
    </row>
    <row r="11" spans="1:2" x14ac:dyDescent="0.3">
      <c r="A11" s="2" t="s">
        <v>6</v>
      </c>
      <c r="B11" s="2" t="s">
        <v>146</v>
      </c>
    </row>
    <row r="12" spans="1:2" x14ac:dyDescent="0.3">
      <c r="A12" s="2" t="s">
        <v>6</v>
      </c>
      <c r="B12" s="2" t="s">
        <v>87</v>
      </c>
    </row>
    <row r="13" spans="1:2" x14ac:dyDescent="0.3">
      <c r="A13" s="2" t="s">
        <v>6</v>
      </c>
      <c r="B13" s="2" t="s">
        <v>706</v>
      </c>
    </row>
    <row r="14" spans="1:2" x14ac:dyDescent="0.3">
      <c r="A14" s="2" t="s">
        <v>6</v>
      </c>
      <c r="B14" s="2" t="s">
        <v>707</v>
      </c>
    </row>
    <row r="15" spans="1:2" x14ac:dyDescent="0.3">
      <c r="A15" s="2" t="s">
        <v>6</v>
      </c>
      <c r="B15" s="2" t="s">
        <v>708</v>
      </c>
    </row>
    <row r="16" spans="1:2" x14ac:dyDescent="0.3">
      <c r="A16" s="2" t="s">
        <v>709</v>
      </c>
      <c r="B16" s="2" t="s">
        <v>60</v>
      </c>
    </row>
    <row r="17" spans="1:2" x14ac:dyDescent="0.3">
      <c r="A17" s="2" t="s">
        <v>709</v>
      </c>
      <c r="B17" s="2" t="s">
        <v>58</v>
      </c>
    </row>
    <row r="18" spans="1:2" x14ac:dyDescent="0.3">
      <c r="A18" s="2" t="s">
        <v>710</v>
      </c>
      <c r="B18" s="2" t="s">
        <v>255</v>
      </c>
    </row>
    <row r="19" spans="1:2" x14ac:dyDescent="0.3">
      <c r="A19" s="2" t="s">
        <v>710</v>
      </c>
      <c r="B19" s="2" t="s">
        <v>711</v>
      </c>
    </row>
    <row r="20" spans="1:2" x14ac:dyDescent="0.3">
      <c r="A20" s="2" t="s">
        <v>710</v>
      </c>
      <c r="B20" s="2" t="s">
        <v>266</v>
      </c>
    </row>
    <row r="21" spans="1:2" x14ac:dyDescent="0.3">
      <c r="A21" s="2" t="s">
        <v>710</v>
      </c>
      <c r="B21" s="2" t="s">
        <v>205</v>
      </c>
    </row>
    <row r="22" spans="1:2" x14ac:dyDescent="0.3">
      <c r="A22" s="2" t="s">
        <v>710</v>
      </c>
      <c r="B22" s="2" t="s">
        <v>300</v>
      </c>
    </row>
    <row r="23" spans="1:2" x14ac:dyDescent="0.3">
      <c r="A23" s="2" t="s">
        <v>710</v>
      </c>
      <c r="B23" s="2" t="s">
        <v>59</v>
      </c>
    </row>
    <row r="24" spans="1:2" x14ac:dyDescent="0.3">
      <c r="A24" s="2" t="s">
        <v>712</v>
      </c>
      <c r="B24" s="2" t="s">
        <v>116</v>
      </c>
    </row>
    <row r="25" spans="1:2" x14ac:dyDescent="0.3">
      <c r="A25" s="2" t="s">
        <v>712</v>
      </c>
      <c r="B25" s="2" t="s">
        <v>49</v>
      </c>
    </row>
    <row r="26" spans="1:2" x14ac:dyDescent="0.3">
      <c r="A26" s="2" t="s">
        <v>713</v>
      </c>
      <c r="B26" s="2" t="s">
        <v>714</v>
      </c>
    </row>
    <row r="27" spans="1:2" x14ac:dyDescent="0.3">
      <c r="A27" s="2" t="s">
        <v>713</v>
      </c>
      <c r="B27" s="2" t="s">
        <v>715</v>
      </c>
    </row>
    <row r="28" spans="1:2" x14ac:dyDescent="0.3">
      <c r="A28" s="2" t="s">
        <v>716</v>
      </c>
      <c r="B28" s="2" t="s">
        <v>717</v>
      </c>
    </row>
    <row r="29" spans="1:2" x14ac:dyDescent="0.3">
      <c r="A29" s="2" t="s">
        <v>716</v>
      </c>
      <c r="B29" s="2" t="s">
        <v>718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6"/>
  <sheetViews>
    <sheetView workbookViewId="0">
      <selection activeCell="D2" sqref="D2"/>
    </sheetView>
  </sheetViews>
  <sheetFormatPr defaultRowHeight="14.4" x14ac:dyDescent="0.3"/>
  <cols>
    <col min="1" max="1" width="8" customWidth="1"/>
    <col min="2" max="4" width="16" customWidth="1"/>
    <col min="5" max="5" width="14" customWidth="1"/>
    <col min="6" max="7" width="18" customWidth="1"/>
    <col min="8" max="9" width="26" customWidth="1"/>
    <col min="10" max="10" width="30" customWidth="1"/>
    <col min="11" max="11" width="16" customWidth="1"/>
  </cols>
  <sheetData>
    <row r="1" spans="1:11" ht="28.8" x14ac:dyDescent="0.3">
      <c r="A1" s="1" t="s">
        <v>1</v>
      </c>
      <c r="B1" s="1" t="s">
        <v>0</v>
      </c>
      <c r="C1" s="1" t="s">
        <v>15</v>
      </c>
      <c r="D1" s="1" t="s">
        <v>719</v>
      </c>
      <c r="E1" s="1" t="s">
        <v>720</v>
      </c>
      <c r="F1" s="1" t="s">
        <v>721</v>
      </c>
      <c r="G1" s="1" t="s">
        <v>722</v>
      </c>
      <c r="H1" s="1" t="s">
        <v>723</v>
      </c>
      <c r="I1" s="1" t="s">
        <v>724</v>
      </c>
      <c r="J1" s="1" t="s">
        <v>725</v>
      </c>
      <c r="K1" s="1" t="s">
        <v>726</v>
      </c>
    </row>
    <row r="2" spans="1:11" x14ac:dyDescent="0.3">
      <c r="A2" s="2" t="str">
        <f>Painel_Propostas!B2</f>
        <v>AP</v>
      </c>
      <c r="B2" s="2" t="str">
        <f>Painel_Propostas!A2</f>
        <v>AP-2026-001</v>
      </c>
      <c r="C2" s="3">
        <f>Painel_Propostas!P2</f>
        <v>212000</v>
      </c>
      <c r="D2" s="3">
        <f>Painel_Propostas!AL2</f>
        <v>212000</v>
      </c>
      <c r="E2" s="2" t="str">
        <f t="shared" ref="E2:E15" si="0">IF(ABS(D2-C2)&lt;0.01,"Sim","Não")</f>
        <v>Sim</v>
      </c>
      <c r="F2" s="2" t="str">
        <f>IF(Painel_Propostas!N2=200000,"Sim","Não")</f>
        <v>Sim</v>
      </c>
      <c r="G2" s="2" t="str">
        <f>Painel_Propostas!S2</f>
        <v>Sim</v>
      </c>
      <c r="H2" s="2" t="str">
        <f>Painel_Propostas!AQ2</f>
        <v>Não</v>
      </c>
      <c r="I2" s="2" t="str">
        <f>IF(Painel_Propostas!AN2=1,"Sim","Não")</f>
        <v>Sim</v>
      </c>
      <c r="J2" s="2" t="str">
        <f>IF(Painel_Propostas!AO2=1,"Sim","Não")</f>
        <v>Não</v>
      </c>
      <c r="K2" s="2" t="str">
        <f t="shared" ref="K2:K15" si="1">IF(OR(E2&lt;&gt;"Sim",F2&lt;&gt;"Sim",G2&lt;&gt;"Sim",H2="Sim"),"Atenção","OK")</f>
        <v>OK</v>
      </c>
    </row>
    <row r="3" spans="1:11" x14ac:dyDescent="0.3">
      <c r="A3" s="2" t="str">
        <f>Painel_Propostas!B3</f>
        <v>BA</v>
      </c>
      <c r="B3" s="2" t="str">
        <f>Painel_Propostas!A3</f>
        <v>BA-2026-002</v>
      </c>
      <c r="C3" s="3">
        <f>Painel_Propostas!P3</f>
        <v>215000</v>
      </c>
      <c r="D3" s="3">
        <f>Painel_Propostas!AL3</f>
        <v>215000</v>
      </c>
      <c r="E3" s="2" t="str">
        <f t="shared" si="0"/>
        <v>Sim</v>
      </c>
      <c r="F3" s="2" t="str">
        <f>IF(Painel_Propostas!N3=200000,"Sim","Não")</f>
        <v>Sim</v>
      </c>
      <c r="G3" s="2" t="str">
        <f>Painel_Propostas!S3</f>
        <v>Sim</v>
      </c>
      <c r="H3" s="2" t="str">
        <f>Painel_Propostas!AQ3</f>
        <v>Não</v>
      </c>
      <c r="I3" s="2" t="str">
        <f>IF(Painel_Propostas!AN3=1,"Sim","Não")</f>
        <v>Sim</v>
      </c>
      <c r="J3" s="2" t="str">
        <f>IF(Painel_Propostas!AO3=1,"Sim","Não")</f>
        <v>Não</v>
      </c>
      <c r="K3" s="2" t="str">
        <f t="shared" si="1"/>
        <v>OK</v>
      </c>
    </row>
    <row r="4" spans="1:11" x14ac:dyDescent="0.3">
      <c r="A4" s="2" t="str">
        <f>Painel_Propostas!B4</f>
        <v>CE</v>
      </c>
      <c r="B4" s="2" t="str">
        <f>Painel_Propostas!A4</f>
        <v>CE-2026-003</v>
      </c>
      <c r="C4" s="3">
        <f>Painel_Propostas!P4</f>
        <v>210000</v>
      </c>
      <c r="D4" s="3">
        <f>Painel_Propostas!AL4</f>
        <v>210000</v>
      </c>
      <c r="E4" s="2" t="str">
        <f t="shared" si="0"/>
        <v>Sim</v>
      </c>
      <c r="F4" s="2" t="str">
        <f>IF(Painel_Propostas!N4=200000,"Sim","Não")</f>
        <v>Sim</v>
      </c>
      <c r="G4" s="2" t="str">
        <f>Painel_Propostas!S4</f>
        <v>Sim</v>
      </c>
      <c r="H4" s="2" t="str">
        <f>Painel_Propostas!AQ4</f>
        <v>Não</v>
      </c>
      <c r="I4" s="2" t="str">
        <f>IF(Painel_Propostas!AN4=1,"Sim","Não")</f>
        <v>Não</v>
      </c>
      <c r="J4" s="2" t="str">
        <f>IF(Painel_Propostas!AO4=1,"Sim","Não")</f>
        <v>Não</v>
      </c>
      <c r="K4" s="2" t="str">
        <f t="shared" si="1"/>
        <v>OK</v>
      </c>
    </row>
    <row r="5" spans="1:11" x14ac:dyDescent="0.3">
      <c r="A5" s="2" t="str">
        <f>Painel_Propostas!B5</f>
        <v>DF</v>
      </c>
      <c r="B5" s="2" t="str">
        <f>Painel_Propostas!A5</f>
        <v>DF-2026-004</v>
      </c>
      <c r="C5" s="3">
        <f>Painel_Propostas!P5</f>
        <v>225000</v>
      </c>
      <c r="D5" s="3">
        <f>Painel_Propostas!AL5</f>
        <v>225000</v>
      </c>
      <c r="E5" s="2" t="str">
        <f t="shared" si="0"/>
        <v>Sim</v>
      </c>
      <c r="F5" s="2" t="str">
        <f>IF(Painel_Propostas!N5=200000,"Sim","Não")</f>
        <v>Sim</v>
      </c>
      <c r="G5" s="2" t="str">
        <f>Painel_Propostas!S5</f>
        <v>Sim</v>
      </c>
      <c r="H5" s="2" t="str">
        <f>Painel_Propostas!AQ5</f>
        <v>Não</v>
      </c>
      <c r="I5" s="2" t="str">
        <f>IF(Painel_Propostas!AN5=1,"Sim","Não")</f>
        <v>Sim</v>
      </c>
      <c r="J5" s="2" t="str">
        <f>IF(Painel_Propostas!AO5=1,"Sim","Não")</f>
        <v>Sim</v>
      </c>
      <c r="K5" s="2" t="str">
        <f t="shared" si="1"/>
        <v>OK</v>
      </c>
    </row>
    <row r="6" spans="1:11" x14ac:dyDescent="0.3">
      <c r="A6" s="2" t="str">
        <f>Painel_Propostas!B6</f>
        <v>ES</v>
      </c>
      <c r="B6" s="2" t="str">
        <f>Painel_Propostas!A6</f>
        <v>ES-2026-005</v>
      </c>
      <c r="C6" s="3">
        <f>Painel_Propostas!P6</f>
        <v>210000</v>
      </c>
      <c r="D6" s="3">
        <f>Painel_Propostas!AL6</f>
        <v>210000</v>
      </c>
      <c r="E6" s="2" t="str">
        <f t="shared" si="0"/>
        <v>Sim</v>
      </c>
      <c r="F6" s="2" t="str">
        <f>IF(Painel_Propostas!N6=200000,"Sim","Não")</f>
        <v>Sim</v>
      </c>
      <c r="G6" s="2" t="str">
        <f>Painel_Propostas!S6</f>
        <v>Não</v>
      </c>
      <c r="H6" s="2" t="str">
        <f>Painel_Propostas!AQ6</f>
        <v>Não</v>
      </c>
      <c r="I6" s="2" t="str">
        <f>IF(Painel_Propostas!AN6=1,"Sim","Não")</f>
        <v>Não</v>
      </c>
      <c r="J6" s="2" t="str">
        <f>IF(Painel_Propostas!AO6=1,"Sim","Não")</f>
        <v>Não</v>
      </c>
      <c r="K6" s="2" t="str">
        <f t="shared" si="1"/>
        <v>Atenção</v>
      </c>
    </row>
    <row r="7" spans="1:11" x14ac:dyDescent="0.3">
      <c r="A7" s="2" t="str">
        <f>Painel_Propostas!B7</f>
        <v>MG</v>
      </c>
      <c r="B7" s="2" t="str">
        <f>Painel_Propostas!A7</f>
        <v>MG-2026-006</v>
      </c>
      <c r="C7" s="3">
        <f>Painel_Propostas!P7</f>
        <v>230000</v>
      </c>
      <c r="D7" s="3">
        <f>Painel_Propostas!AL7</f>
        <v>230000</v>
      </c>
      <c r="E7" s="2" t="str">
        <f t="shared" si="0"/>
        <v>Sim</v>
      </c>
      <c r="F7" s="2" t="str">
        <f>IF(Painel_Propostas!N7=200000,"Sim","Não")</f>
        <v>Sim</v>
      </c>
      <c r="G7" s="2" t="str">
        <f>Painel_Propostas!S7</f>
        <v>Sim</v>
      </c>
      <c r="H7" s="2" t="str">
        <f>Painel_Propostas!AQ7</f>
        <v>Não</v>
      </c>
      <c r="I7" s="2" t="str">
        <f>IF(Painel_Propostas!AN7=1,"Sim","Não")</f>
        <v>Não</v>
      </c>
      <c r="J7" s="2" t="str">
        <f>IF(Painel_Propostas!AO7=1,"Sim","Não")</f>
        <v>Não</v>
      </c>
      <c r="K7" s="2" t="str">
        <f t="shared" si="1"/>
        <v>OK</v>
      </c>
    </row>
    <row r="8" spans="1:11" x14ac:dyDescent="0.3">
      <c r="A8" s="2" t="str">
        <f>Painel_Propostas!B8</f>
        <v>PA</v>
      </c>
      <c r="B8" s="2" t="str">
        <f>Painel_Propostas!A8</f>
        <v>PA-2026-007</v>
      </c>
      <c r="C8" s="3">
        <f>Painel_Propostas!P8</f>
        <v>208000</v>
      </c>
      <c r="D8" s="3">
        <f>Painel_Propostas!AL8</f>
        <v>208000</v>
      </c>
      <c r="E8" s="2" t="str">
        <f t="shared" si="0"/>
        <v>Sim</v>
      </c>
      <c r="F8" s="2" t="str">
        <f>IF(Painel_Propostas!N8=200000,"Sim","Não")</f>
        <v>Sim</v>
      </c>
      <c r="G8" s="2" t="str">
        <f>Painel_Propostas!S8</f>
        <v>Sim</v>
      </c>
      <c r="H8" s="2" t="str">
        <f>Painel_Propostas!AQ8</f>
        <v>Sim</v>
      </c>
      <c r="I8" s="2" t="str">
        <f>IF(Painel_Propostas!AN8=1,"Sim","Não")</f>
        <v>Não</v>
      </c>
      <c r="J8" s="2" t="str">
        <f>IF(Painel_Propostas!AO8=1,"Sim","Não")</f>
        <v>Não</v>
      </c>
      <c r="K8" s="2" t="str">
        <f t="shared" si="1"/>
        <v>Atenção</v>
      </c>
    </row>
    <row r="9" spans="1:11" x14ac:dyDescent="0.3">
      <c r="A9" s="2" t="str">
        <f>Painel_Propostas!B9</f>
        <v>PE</v>
      </c>
      <c r="B9" s="2" t="str">
        <f>Painel_Propostas!A9</f>
        <v>PE-2026-008</v>
      </c>
      <c r="C9" s="3">
        <f>Painel_Propostas!P9</f>
        <v>214000</v>
      </c>
      <c r="D9" s="3">
        <f>Painel_Propostas!AL9</f>
        <v>214000</v>
      </c>
      <c r="E9" s="2" t="str">
        <f t="shared" si="0"/>
        <v>Sim</v>
      </c>
      <c r="F9" s="2" t="str">
        <f>IF(Painel_Propostas!N9=200000,"Sim","Não")</f>
        <v>Sim</v>
      </c>
      <c r="G9" s="2" t="str">
        <f>Painel_Propostas!S9</f>
        <v>Sim</v>
      </c>
      <c r="H9" s="2" t="str">
        <f>Painel_Propostas!AQ9</f>
        <v>Não</v>
      </c>
      <c r="I9" s="2" t="str">
        <f>IF(Painel_Propostas!AN9=1,"Sim","Não")</f>
        <v>Sim</v>
      </c>
      <c r="J9" s="2" t="str">
        <f>IF(Painel_Propostas!AO9=1,"Sim","Não")</f>
        <v>Não</v>
      </c>
      <c r="K9" s="2" t="str">
        <f t="shared" si="1"/>
        <v>OK</v>
      </c>
    </row>
    <row r="10" spans="1:11" x14ac:dyDescent="0.3">
      <c r="A10" s="2" t="str">
        <f>Painel_Propostas!B10</f>
        <v>RN</v>
      </c>
      <c r="B10" s="2" t="str">
        <f>Painel_Propostas!A10</f>
        <v>RN-2026-009</v>
      </c>
      <c r="C10" s="3">
        <f>Painel_Propostas!P10</f>
        <v>209000</v>
      </c>
      <c r="D10" s="3">
        <f>Painel_Propostas!AL10</f>
        <v>209000</v>
      </c>
      <c r="E10" s="2" t="str">
        <f t="shared" si="0"/>
        <v>Sim</v>
      </c>
      <c r="F10" s="2" t="str">
        <f>IF(Painel_Propostas!N10=200000,"Sim","Não")</f>
        <v>Sim</v>
      </c>
      <c r="G10" s="2" t="str">
        <f>Painel_Propostas!S10</f>
        <v>Não</v>
      </c>
      <c r="H10" s="2" t="str">
        <f>Painel_Propostas!AQ10</f>
        <v>Não</v>
      </c>
      <c r="I10" s="2" t="str">
        <f>IF(Painel_Propostas!AN10=1,"Sim","Não")</f>
        <v>Não</v>
      </c>
      <c r="J10" s="2" t="str">
        <f>IF(Painel_Propostas!AO10=1,"Sim","Não")</f>
        <v>Não</v>
      </c>
      <c r="K10" s="2" t="str">
        <f t="shared" si="1"/>
        <v>Atenção</v>
      </c>
    </row>
    <row r="11" spans="1:11" x14ac:dyDescent="0.3">
      <c r="A11" s="2" t="str">
        <f>Painel_Propostas!B11</f>
        <v>RS</v>
      </c>
      <c r="B11" s="2" t="str">
        <f>Painel_Propostas!A11</f>
        <v>RS-2026-010</v>
      </c>
      <c r="C11" s="3">
        <f>Painel_Propostas!P11</f>
        <v>218000</v>
      </c>
      <c r="D11" s="3">
        <f>Painel_Propostas!AL11</f>
        <v>218000</v>
      </c>
      <c r="E11" s="2" t="str">
        <f t="shared" si="0"/>
        <v>Sim</v>
      </c>
      <c r="F11" s="2" t="str">
        <f>IF(Painel_Propostas!N11=200000,"Sim","Não")</f>
        <v>Sim</v>
      </c>
      <c r="G11" s="2" t="str">
        <f>Painel_Propostas!S11</f>
        <v>Sim</v>
      </c>
      <c r="H11" s="2" t="str">
        <f>Painel_Propostas!AQ11</f>
        <v>Não</v>
      </c>
      <c r="I11" s="2" t="str">
        <f>IF(Painel_Propostas!AN11=1,"Sim","Não")</f>
        <v>Sim</v>
      </c>
      <c r="J11" s="2" t="str">
        <f>IF(Painel_Propostas!AO11=1,"Sim","Não")</f>
        <v>Não</v>
      </c>
      <c r="K11" s="2" t="str">
        <f t="shared" si="1"/>
        <v>OK</v>
      </c>
    </row>
    <row r="12" spans="1:11" x14ac:dyDescent="0.3">
      <c r="A12" s="2" t="str">
        <f>Painel_Propostas!B12</f>
        <v>SE</v>
      </c>
      <c r="B12" s="2" t="str">
        <f>Painel_Propostas!A12</f>
        <v>SE-2026-011</v>
      </c>
      <c r="C12" s="3">
        <f>Painel_Propostas!P12</f>
        <v>207000</v>
      </c>
      <c r="D12" s="3">
        <f>Painel_Propostas!AL12</f>
        <v>207000</v>
      </c>
      <c r="E12" s="2" t="str">
        <f t="shared" si="0"/>
        <v>Sim</v>
      </c>
      <c r="F12" s="2" t="str">
        <f>IF(Painel_Propostas!N12=200000,"Sim","Não")</f>
        <v>Sim</v>
      </c>
      <c r="G12" s="2" t="str">
        <f>Painel_Propostas!S12</f>
        <v>Sim</v>
      </c>
      <c r="H12" s="2" t="str">
        <f>Painel_Propostas!AQ12</f>
        <v>Sim</v>
      </c>
      <c r="I12" s="2" t="str">
        <f>IF(Painel_Propostas!AN12=1,"Sim","Não")</f>
        <v>Não</v>
      </c>
      <c r="J12" s="2" t="str">
        <f>IF(Painel_Propostas!AO12=1,"Sim","Não")</f>
        <v>Não</v>
      </c>
      <c r="K12" s="2" t="str">
        <f t="shared" si="1"/>
        <v>Atenção</v>
      </c>
    </row>
    <row r="13" spans="1:11" x14ac:dyDescent="0.3">
      <c r="A13" s="2" t="str">
        <f>Painel_Propostas!B13</f>
        <v>RR</v>
      </c>
      <c r="B13" s="2" t="str">
        <f>Painel_Propostas!A13</f>
        <v>RR-2026-012</v>
      </c>
      <c r="C13" s="3">
        <f>Painel_Propostas!P13</f>
        <v>206000</v>
      </c>
      <c r="D13" s="3">
        <f>Painel_Propostas!AL13</f>
        <v>206000</v>
      </c>
      <c r="E13" s="2" t="str">
        <f t="shared" si="0"/>
        <v>Sim</v>
      </c>
      <c r="F13" s="2" t="str">
        <f>IF(Painel_Propostas!N13=200000,"Sim","Não")</f>
        <v>Sim</v>
      </c>
      <c r="G13" s="2" t="str">
        <f>Painel_Propostas!S13</f>
        <v>Não</v>
      </c>
      <c r="H13" s="2" t="str">
        <f>Painel_Propostas!AQ13</f>
        <v>Sim</v>
      </c>
      <c r="I13" s="2" t="str">
        <f>IF(Painel_Propostas!AN13=1,"Sim","Não")</f>
        <v>Não</v>
      </c>
      <c r="J13" s="2" t="str">
        <f>IF(Painel_Propostas!AO13=1,"Sim","Não")</f>
        <v>Não</v>
      </c>
      <c r="K13" s="2" t="str">
        <f t="shared" si="1"/>
        <v>Atenção</v>
      </c>
    </row>
    <row r="14" spans="1:11" x14ac:dyDescent="0.3">
      <c r="A14" s="2" t="str">
        <f>Painel_Propostas!B14</f>
        <v>GO</v>
      </c>
      <c r="B14" s="2" t="str">
        <f>Painel_Propostas!A14</f>
        <v>GO-2026-013</v>
      </c>
      <c r="C14" s="3">
        <f>Painel_Propostas!P14</f>
        <v>216000</v>
      </c>
      <c r="D14" s="3">
        <f>Painel_Propostas!AL14</f>
        <v>216000</v>
      </c>
      <c r="E14" s="2" t="str">
        <f t="shared" si="0"/>
        <v>Sim</v>
      </c>
      <c r="F14" s="2" t="str">
        <f>IF(Painel_Propostas!N14=200000,"Sim","Não")</f>
        <v>Sim</v>
      </c>
      <c r="G14" s="2" t="str">
        <f>Painel_Propostas!S14</f>
        <v>Sim</v>
      </c>
      <c r="H14" s="2" t="str">
        <f>Painel_Propostas!AQ14</f>
        <v>Não</v>
      </c>
      <c r="I14" s="2" t="str">
        <f>IF(Painel_Propostas!AN14=1,"Sim","Não")</f>
        <v>Sim</v>
      </c>
      <c r="J14" s="2" t="str">
        <f>IF(Painel_Propostas!AO14=1,"Sim","Não")</f>
        <v>Não</v>
      </c>
      <c r="K14" s="2" t="str">
        <f t="shared" si="1"/>
        <v>OK</v>
      </c>
    </row>
    <row r="15" spans="1:11" x14ac:dyDescent="0.3">
      <c r="A15" s="2" t="str">
        <f>Painel_Propostas!B15</f>
        <v>AM</v>
      </c>
      <c r="B15" s="2" t="str">
        <f>Painel_Propostas!A15</f>
        <v>AM-2026-014</v>
      </c>
      <c r="C15" s="3">
        <f>Painel_Propostas!P15</f>
        <v>211000</v>
      </c>
      <c r="D15" s="3">
        <f>Painel_Propostas!AL15</f>
        <v>211000</v>
      </c>
      <c r="E15" s="2" t="str">
        <f t="shared" si="0"/>
        <v>Sim</v>
      </c>
      <c r="F15" s="2" t="str">
        <f>IF(Painel_Propostas!N15=200000,"Sim","Não")</f>
        <v>Sim</v>
      </c>
      <c r="G15" s="2" t="str">
        <f>Painel_Propostas!S15</f>
        <v>Sim</v>
      </c>
      <c r="H15" s="2" t="str">
        <f>Painel_Propostas!AQ15</f>
        <v>Não</v>
      </c>
      <c r="I15" s="2" t="str">
        <f>IF(Painel_Propostas!AN15=1,"Sim","Não")</f>
        <v>Sim</v>
      </c>
      <c r="J15" s="2" t="str">
        <f>IF(Painel_Propostas!AO15=1,"Sim","Não")</f>
        <v>Não</v>
      </c>
      <c r="K15" s="2" t="str">
        <f t="shared" si="1"/>
        <v>OK</v>
      </c>
    </row>
    <row r="16" spans="1:1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</sheetData>
  <conditionalFormatting sqref="K2:K15">
    <cfRule type="expression" dxfId="0" priority="1">
      <formula>K2="Atenção"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"/>
  <sheetViews>
    <sheetView workbookViewId="0"/>
  </sheetViews>
  <sheetFormatPr defaultRowHeight="14.4" x14ac:dyDescent="0.3"/>
  <cols>
    <col min="1" max="1" width="24" customWidth="1"/>
    <col min="2" max="2" width="48" customWidth="1"/>
    <col min="3" max="3" width="70" customWidth="1"/>
  </cols>
  <sheetData>
    <row r="1" spans="1:3" ht="19.2" customHeight="1" x14ac:dyDescent="0.3">
      <c r="A1" s="1" t="s">
        <v>727</v>
      </c>
      <c r="B1" s="1" t="s">
        <v>728</v>
      </c>
      <c r="C1" s="1" t="s">
        <v>729</v>
      </c>
    </row>
    <row r="2" spans="1:3" x14ac:dyDescent="0.3">
      <c r="A2" s="2" t="s">
        <v>730</v>
      </c>
      <c r="B2" s="2" t="s">
        <v>731</v>
      </c>
      <c r="C2" s="2" t="s">
        <v>732</v>
      </c>
    </row>
    <row r="3" spans="1:3" ht="28.8" x14ac:dyDescent="0.3">
      <c r="A3" s="2" t="s">
        <v>733</v>
      </c>
      <c r="B3" s="2" t="s">
        <v>734</v>
      </c>
      <c r="C3" s="2" t="s">
        <v>735</v>
      </c>
    </row>
    <row r="4" spans="1:3" ht="28.8" x14ac:dyDescent="0.3">
      <c r="A4" s="2" t="s">
        <v>736</v>
      </c>
      <c r="B4" s="2" t="s">
        <v>737</v>
      </c>
      <c r="C4" s="2" t="s">
        <v>738</v>
      </c>
    </row>
    <row r="5" spans="1:3" ht="28.8" x14ac:dyDescent="0.3">
      <c r="A5" s="2" t="s">
        <v>739</v>
      </c>
      <c r="B5" s="2" t="s">
        <v>740</v>
      </c>
      <c r="C5" s="2" t="s">
        <v>741</v>
      </c>
    </row>
    <row r="6" spans="1:3" ht="28.8" x14ac:dyDescent="0.3">
      <c r="A6" s="2" t="s">
        <v>742</v>
      </c>
      <c r="B6" s="2" t="s">
        <v>743</v>
      </c>
      <c r="C6" s="2" t="s">
        <v>744</v>
      </c>
    </row>
    <row r="7" spans="1:3" x14ac:dyDescent="0.3">
      <c r="A7" s="2" t="s">
        <v>745</v>
      </c>
      <c r="B7" s="2" t="s">
        <v>746</v>
      </c>
      <c r="C7" s="2" t="s">
        <v>747</v>
      </c>
    </row>
    <row r="8" spans="1:3" x14ac:dyDescent="0.3">
      <c r="A8" s="2" t="s">
        <v>748</v>
      </c>
      <c r="B8" s="2" t="s">
        <v>749</v>
      </c>
      <c r="C8" s="2" t="s">
        <v>750</v>
      </c>
    </row>
    <row r="9" spans="1:3" ht="28.8" x14ac:dyDescent="0.3">
      <c r="A9" s="2" t="s">
        <v>751</v>
      </c>
      <c r="B9" s="2" t="s">
        <v>752</v>
      </c>
      <c r="C9" s="2" t="s">
        <v>753</v>
      </c>
    </row>
    <row r="10" spans="1:3" x14ac:dyDescent="0.3">
      <c r="A10" t="s">
        <v>754</v>
      </c>
      <c r="B10" t="s">
        <v>755</v>
      </c>
      <c r="C10" t="s">
        <v>756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"/>
  <sheetViews>
    <sheetView workbookViewId="0"/>
  </sheetViews>
  <sheetFormatPr defaultRowHeight="14.4" x14ac:dyDescent="0.3"/>
  <cols>
    <col min="1" max="1" width="18" customWidth="1"/>
    <col min="2" max="2" width="16" customWidth="1"/>
    <col min="3" max="3" width="8" customWidth="1"/>
    <col min="4" max="4" width="26" customWidth="1"/>
    <col min="5" max="5" width="34" customWidth="1"/>
    <col min="6" max="6" width="42" customWidth="1"/>
    <col min="7" max="8" width="12" customWidth="1"/>
    <col min="9" max="9" width="16" customWidth="1"/>
    <col min="10" max="10" width="20" customWidth="1"/>
    <col min="11" max="11" width="16" customWidth="1"/>
    <col min="12" max="12" width="14" customWidth="1"/>
    <col min="13" max="13" width="12" customWidth="1"/>
    <col min="14" max="14" width="42" customWidth="1"/>
  </cols>
  <sheetData>
    <row r="1" spans="1:14" x14ac:dyDescent="0.3">
      <c r="A1" s="6" t="s">
        <v>757</v>
      </c>
      <c r="B1" s="6" t="s">
        <v>0</v>
      </c>
      <c r="C1" s="6" t="s">
        <v>1</v>
      </c>
      <c r="D1" s="6" t="s">
        <v>758</v>
      </c>
      <c r="E1" s="6" t="s">
        <v>759</v>
      </c>
      <c r="F1" s="6" t="s">
        <v>760</v>
      </c>
      <c r="G1" s="6" t="s">
        <v>761</v>
      </c>
      <c r="H1" s="6" t="s">
        <v>762</v>
      </c>
      <c r="I1" s="6" t="s">
        <v>763</v>
      </c>
      <c r="J1" s="6" t="s">
        <v>716</v>
      </c>
      <c r="K1" s="6" t="s">
        <v>764</v>
      </c>
      <c r="L1" s="6" t="s">
        <v>713</v>
      </c>
      <c r="M1" s="6" t="s">
        <v>765</v>
      </c>
      <c r="N1" s="6" t="s">
        <v>201</v>
      </c>
    </row>
    <row r="2" spans="1:14" ht="28.8" x14ac:dyDescent="0.3">
      <c r="A2" s="2" t="s">
        <v>766</v>
      </c>
      <c r="B2" s="2" t="s">
        <v>46</v>
      </c>
      <c r="C2" s="2" t="s">
        <v>47</v>
      </c>
      <c r="D2" s="2" t="s">
        <v>767</v>
      </c>
      <c r="E2" s="2" t="s">
        <v>768</v>
      </c>
      <c r="F2" s="2" t="s">
        <v>769</v>
      </c>
      <c r="G2" s="2" t="s">
        <v>770</v>
      </c>
      <c r="H2" s="7">
        <v>7</v>
      </c>
      <c r="I2" s="3">
        <v>5800</v>
      </c>
      <c r="J2" s="2" t="s">
        <v>717</v>
      </c>
      <c r="K2" s="3">
        <v>40600</v>
      </c>
      <c r="L2" s="2" t="s">
        <v>714</v>
      </c>
      <c r="M2" s="2" t="s">
        <v>60</v>
      </c>
      <c r="N2" s="2" t="s">
        <v>771</v>
      </c>
    </row>
    <row r="3" spans="1:14" ht="28.8" x14ac:dyDescent="0.3">
      <c r="A3" s="2" t="s">
        <v>772</v>
      </c>
      <c r="B3" s="2" t="s">
        <v>46</v>
      </c>
      <c r="C3" s="2" t="s">
        <v>47</v>
      </c>
      <c r="D3" s="2" t="s">
        <v>767</v>
      </c>
      <c r="E3" s="2" t="s">
        <v>773</v>
      </c>
      <c r="F3" s="2" t="s">
        <v>774</v>
      </c>
      <c r="G3" s="2" t="s">
        <v>770</v>
      </c>
      <c r="H3" s="7">
        <v>5</v>
      </c>
      <c r="I3" s="3">
        <v>5200</v>
      </c>
      <c r="J3" s="2" t="s">
        <v>717</v>
      </c>
      <c r="K3" s="3">
        <v>26000</v>
      </c>
      <c r="L3" s="2" t="s">
        <v>714</v>
      </c>
      <c r="M3" s="2" t="s">
        <v>60</v>
      </c>
      <c r="N3" s="2" t="s">
        <v>771</v>
      </c>
    </row>
    <row r="4" spans="1:14" ht="28.8" x14ac:dyDescent="0.3">
      <c r="A4" s="2" t="s">
        <v>775</v>
      </c>
      <c r="B4" s="2" t="s">
        <v>46</v>
      </c>
      <c r="C4" s="2" t="s">
        <v>47</v>
      </c>
      <c r="D4" s="2" t="s">
        <v>767</v>
      </c>
      <c r="E4" s="2" t="s">
        <v>776</v>
      </c>
      <c r="F4" s="2" t="s">
        <v>777</v>
      </c>
      <c r="G4" s="2" t="s">
        <v>770</v>
      </c>
      <c r="H4" s="7">
        <v>2</v>
      </c>
      <c r="I4" s="3">
        <v>4500</v>
      </c>
      <c r="J4" s="2" t="s">
        <v>717</v>
      </c>
      <c r="K4" s="3">
        <v>9000</v>
      </c>
      <c r="L4" s="2" t="s">
        <v>714</v>
      </c>
      <c r="M4" s="2" t="s">
        <v>60</v>
      </c>
      <c r="N4" s="2" t="s">
        <v>771</v>
      </c>
    </row>
    <row r="5" spans="1:14" ht="28.8" x14ac:dyDescent="0.3">
      <c r="A5" s="2" t="s">
        <v>778</v>
      </c>
      <c r="B5" s="2" t="s">
        <v>46</v>
      </c>
      <c r="C5" s="2" t="s">
        <v>47</v>
      </c>
      <c r="D5" s="2" t="s">
        <v>767</v>
      </c>
      <c r="E5" s="2" t="s">
        <v>779</v>
      </c>
      <c r="F5" s="2" t="s">
        <v>780</v>
      </c>
      <c r="G5" s="2" t="s">
        <v>770</v>
      </c>
      <c r="H5" s="7">
        <v>2</v>
      </c>
      <c r="I5" s="3">
        <v>3200</v>
      </c>
      <c r="J5" s="2" t="s">
        <v>717</v>
      </c>
      <c r="K5" s="3">
        <v>6400</v>
      </c>
      <c r="L5" s="2" t="s">
        <v>714</v>
      </c>
      <c r="M5" s="2" t="s">
        <v>60</v>
      </c>
      <c r="N5" s="2" t="s">
        <v>771</v>
      </c>
    </row>
    <row r="6" spans="1:14" ht="28.8" x14ac:dyDescent="0.3">
      <c r="A6" s="2" t="s">
        <v>781</v>
      </c>
      <c r="B6" s="2" t="s">
        <v>46</v>
      </c>
      <c r="C6" s="2" t="s">
        <v>47</v>
      </c>
      <c r="D6" s="2" t="s">
        <v>767</v>
      </c>
      <c r="E6" s="2" t="s">
        <v>782</v>
      </c>
      <c r="F6" s="2" t="s">
        <v>783</v>
      </c>
      <c r="G6" s="2" t="s">
        <v>770</v>
      </c>
      <c r="H6" s="7">
        <v>8</v>
      </c>
      <c r="I6" s="3">
        <v>900</v>
      </c>
      <c r="J6" s="2" t="s">
        <v>717</v>
      </c>
      <c r="K6" s="3">
        <v>7200</v>
      </c>
      <c r="L6" s="2" t="s">
        <v>714</v>
      </c>
      <c r="M6" s="2" t="s">
        <v>60</v>
      </c>
      <c r="N6" s="2" t="s">
        <v>771</v>
      </c>
    </row>
    <row r="7" spans="1:14" ht="28.8" x14ac:dyDescent="0.3">
      <c r="A7" s="2" t="s">
        <v>784</v>
      </c>
      <c r="B7" s="2" t="s">
        <v>46</v>
      </c>
      <c r="C7" s="2" t="s">
        <v>47</v>
      </c>
      <c r="D7" s="2" t="s">
        <v>785</v>
      </c>
      <c r="E7" s="2" t="s">
        <v>786</v>
      </c>
      <c r="F7" s="2" t="s">
        <v>787</v>
      </c>
      <c r="G7" s="2" t="s">
        <v>770</v>
      </c>
      <c r="H7" s="7">
        <v>8</v>
      </c>
      <c r="I7" s="3">
        <v>2300</v>
      </c>
      <c r="J7" s="2" t="s">
        <v>717</v>
      </c>
      <c r="K7" s="3">
        <v>18400</v>
      </c>
      <c r="L7" s="2" t="s">
        <v>714</v>
      </c>
      <c r="M7" s="2" t="s">
        <v>60</v>
      </c>
      <c r="N7" s="2" t="s">
        <v>771</v>
      </c>
    </row>
    <row r="8" spans="1:14" ht="28.8" x14ac:dyDescent="0.3">
      <c r="A8" s="2" t="s">
        <v>788</v>
      </c>
      <c r="B8" s="2" t="s">
        <v>46</v>
      </c>
      <c r="C8" s="2" t="s">
        <v>47</v>
      </c>
      <c r="D8" s="2" t="s">
        <v>785</v>
      </c>
      <c r="E8" s="2" t="s">
        <v>789</v>
      </c>
      <c r="F8" s="2" t="s">
        <v>790</v>
      </c>
      <c r="G8" s="2" t="s">
        <v>770</v>
      </c>
      <c r="H8" s="7">
        <v>4</v>
      </c>
      <c r="I8" s="3">
        <v>1600</v>
      </c>
      <c r="J8" s="2" t="s">
        <v>717</v>
      </c>
      <c r="K8" s="3">
        <v>6400</v>
      </c>
      <c r="L8" s="2" t="s">
        <v>714</v>
      </c>
      <c r="M8" s="2" t="s">
        <v>60</v>
      </c>
      <c r="N8" s="2" t="s">
        <v>771</v>
      </c>
    </row>
    <row r="9" spans="1:14" ht="28.8" x14ac:dyDescent="0.3">
      <c r="A9" s="2" t="s">
        <v>791</v>
      </c>
      <c r="B9" s="2" t="s">
        <v>46</v>
      </c>
      <c r="C9" s="2" t="s">
        <v>47</v>
      </c>
      <c r="D9" s="2" t="s">
        <v>767</v>
      </c>
      <c r="E9" s="2" t="s">
        <v>792</v>
      </c>
      <c r="F9" s="2" t="s">
        <v>793</v>
      </c>
      <c r="G9" s="2" t="s">
        <v>794</v>
      </c>
      <c r="H9" s="7">
        <v>1</v>
      </c>
      <c r="I9" s="3">
        <v>15800</v>
      </c>
      <c r="J9" s="2" t="s">
        <v>717</v>
      </c>
      <c r="K9" s="3">
        <v>15800</v>
      </c>
      <c r="L9" s="2" t="s">
        <v>714</v>
      </c>
      <c r="M9" s="2" t="s">
        <v>60</v>
      </c>
      <c r="N9" s="2" t="s">
        <v>771</v>
      </c>
    </row>
    <row r="10" spans="1:14" ht="57.6" x14ac:dyDescent="0.3">
      <c r="A10" s="2" t="s">
        <v>795</v>
      </c>
      <c r="B10" s="2" t="s">
        <v>46</v>
      </c>
      <c r="C10" s="2" t="s">
        <v>47</v>
      </c>
      <c r="D10" s="2" t="s">
        <v>796</v>
      </c>
      <c r="E10" s="2" t="s">
        <v>797</v>
      </c>
      <c r="F10" s="2" t="s">
        <v>798</v>
      </c>
      <c r="G10" s="2" t="s">
        <v>794</v>
      </c>
      <c r="H10" s="7">
        <v>1</v>
      </c>
      <c r="I10" s="3">
        <v>82200</v>
      </c>
      <c r="J10" s="2" t="s">
        <v>799</v>
      </c>
      <c r="K10" s="3">
        <v>82200</v>
      </c>
      <c r="L10" s="2" t="s">
        <v>714</v>
      </c>
      <c r="M10" s="2" t="s">
        <v>60</v>
      </c>
      <c r="N10" s="2" t="s">
        <v>771</v>
      </c>
    </row>
  </sheetData>
  <dataValidations count="5">
    <dataValidation type="list" sqref="C2:C100" xr:uid="{00000000-0002-0000-0700-000000000000}">
      <formula1>"AP,BA,CE,DF,ES,MG,PA,PE,RN,RS,SE,RR,GO,AM"</formula1>
    </dataValidation>
    <dataValidation type="list" sqref="G2:G100" xr:uid="{00000000-0002-0000-0700-000001000000}">
      <formula1>"un,lote"</formula1>
    </dataValidation>
    <dataValidation type="list" sqref="J2:J100" xr:uid="{00000000-0002-0000-0700-000002000000}">
      <formula1>"Repasse,Contrapartida,Repasse/Contrapartida"</formula1>
    </dataValidation>
    <dataValidation type="list" sqref="L2:L100" xr:uid="{00000000-0002-0000-0700-000003000000}">
      <formula1>"Capital,Custeio"</formula1>
    </dataValidation>
    <dataValidation type="list" sqref="M2:M100" xr:uid="{00000000-0002-0000-0700-000004000000}">
      <formula1>"Sim,Não"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0"/>
  <sheetViews>
    <sheetView workbookViewId="0"/>
  </sheetViews>
  <sheetFormatPr defaultRowHeight="14.4" x14ac:dyDescent="0.3"/>
  <cols>
    <col min="1" max="1" width="18" customWidth="1"/>
    <col min="2" max="2" width="16" customWidth="1"/>
    <col min="3" max="3" width="8" customWidth="1"/>
    <col min="4" max="4" width="26" customWidth="1"/>
    <col min="5" max="5" width="34" customWidth="1"/>
    <col min="6" max="6" width="42" customWidth="1"/>
    <col min="7" max="8" width="12" customWidth="1"/>
    <col min="9" max="9" width="16" customWidth="1"/>
    <col min="10" max="10" width="20" customWidth="1"/>
    <col min="11" max="11" width="16" customWidth="1"/>
    <col min="12" max="12" width="14" customWidth="1"/>
    <col min="13" max="13" width="12" customWidth="1"/>
    <col min="14" max="14" width="42" customWidth="1"/>
  </cols>
  <sheetData>
    <row r="1" spans="1:14" x14ac:dyDescent="0.3">
      <c r="A1" s="6" t="s">
        <v>757</v>
      </c>
      <c r="B1" s="6" t="s">
        <v>0</v>
      </c>
      <c r="C1" s="6" t="s">
        <v>1</v>
      </c>
      <c r="D1" s="6" t="s">
        <v>758</v>
      </c>
      <c r="E1" s="6" t="s">
        <v>759</v>
      </c>
      <c r="F1" s="6" t="s">
        <v>760</v>
      </c>
      <c r="G1" s="6" t="s">
        <v>761</v>
      </c>
      <c r="H1" s="6" t="s">
        <v>762</v>
      </c>
      <c r="I1" s="6" t="s">
        <v>763</v>
      </c>
      <c r="J1" s="6" t="s">
        <v>716</v>
      </c>
      <c r="K1" s="6" t="s">
        <v>764</v>
      </c>
      <c r="L1" s="6" t="s">
        <v>713</v>
      </c>
      <c r="M1" s="6" t="s">
        <v>765</v>
      </c>
      <c r="N1" s="6" t="s">
        <v>201</v>
      </c>
    </row>
    <row r="2" spans="1:14" ht="28.8" x14ac:dyDescent="0.3">
      <c r="A2" s="2" t="s">
        <v>800</v>
      </c>
      <c r="B2" s="2" t="s">
        <v>63</v>
      </c>
      <c r="C2" s="2" t="s">
        <v>64</v>
      </c>
      <c r="D2" s="2" t="s">
        <v>767</v>
      </c>
      <c r="E2" s="2" t="s">
        <v>768</v>
      </c>
      <c r="F2" s="2" t="s">
        <v>769</v>
      </c>
      <c r="G2" s="2" t="s">
        <v>770</v>
      </c>
      <c r="H2" s="7">
        <v>7</v>
      </c>
      <c r="I2" s="3">
        <v>5800</v>
      </c>
      <c r="J2" s="2" t="s">
        <v>717</v>
      </c>
      <c r="K2" s="3">
        <v>40600</v>
      </c>
      <c r="L2" s="2" t="s">
        <v>714</v>
      </c>
      <c r="M2" s="2" t="s">
        <v>60</v>
      </c>
      <c r="N2" s="2" t="s">
        <v>771</v>
      </c>
    </row>
    <row r="3" spans="1:14" ht="28.8" x14ac:dyDescent="0.3">
      <c r="A3" s="2" t="s">
        <v>801</v>
      </c>
      <c r="B3" s="2" t="s">
        <v>63</v>
      </c>
      <c r="C3" s="2" t="s">
        <v>64</v>
      </c>
      <c r="D3" s="2" t="s">
        <v>767</v>
      </c>
      <c r="E3" s="2" t="s">
        <v>773</v>
      </c>
      <c r="F3" s="2" t="s">
        <v>774</v>
      </c>
      <c r="G3" s="2" t="s">
        <v>770</v>
      </c>
      <c r="H3" s="7">
        <v>5</v>
      </c>
      <c r="I3" s="3">
        <v>5200</v>
      </c>
      <c r="J3" s="2" t="s">
        <v>717</v>
      </c>
      <c r="K3" s="3">
        <v>26000</v>
      </c>
      <c r="L3" s="2" t="s">
        <v>714</v>
      </c>
      <c r="M3" s="2" t="s">
        <v>60</v>
      </c>
      <c r="N3" s="2" t="s">
        <v>771</v>
      </c>
    </row>
    <row r="4" spans="1:14" ht="28.8" x14ac:dyDescent="0.3">
      <c r="A4" s="2" t="s">
        <v>802</v>
      </c>
      <c r="B4" s="2" t="s">
        <v>63</v>
      </c>
      <c r="C4" s="2" t="s">
        <v>64</v>
      </c>
      <c r="D4" s="2" t="s">
        <v>767</v>
      </c>
      <c r="E4" s="2" t="s">
        <v>776</v>
      </c>
      <c r="F4" s="2" t="s">
        <v>777</v>
      </c>
      <c r="G4" s="2" t="s">
        <v>770</v>
      </c>
      <c r="H4" s="7">
        <v>2</v>
      </c>
      <c r="I4" s="3">
        <v>4500</v>
      </c>
      <c r="J4" s="2" t="s">
        <v>717</v>
      </c>
      <c r="K4" s="3">
        <v>9000</v>
      </c>
      <c r="L4" s="2" t="s">
        <v>714</v>
      </c>
      <c r="M4" s="2" t="s">
        <v>60</v>
      </c>
      <c r="N4" s="2" t="s">
        <v>771</v>
      </c>
    </row>
    <row r="5" spans="1:14" ht="28.8" x14ac:dyDescent="0.3">
      <c r="A5" s="2" t="s">
        <v>803</v>
      </c>
      <c r="B5" s="2" t="s">
        <v>63</v>
      </c>
      <c r="C5" s="2" t="s">
        <v>64</v>
      </c>
      <c r="D5" s="2" t="s">
        <v>767</v>
      </c>
      <c r="E5" s="2" t="s">
        <v>779</v>
      </c>
      <c r="F5" s="2" t="s">
        <v>780</v>
      </c>
      <c r="G5" s="2" t="s">
        <v>770</v>
      </c>
      <c r="H5" s="7">
        <v>2</v>
      </c>
      <c r="I5" s="3">
        <v>3200</v>
      </c>
      <c r="J5" s="2" t="s">
        <v>717</v>
      </c>
      <c r="K5" s="3">
        <v>6400</v>
      </c>
      <c r="L5" s="2" t="s">
        <v>714</v>
      </c>
      <c r="M5" s="2" t="s">
        <v>60</v>
      </c>
      <c r="N5" s="2" t="s">
        <v>771</v>
      </c>
    </row>
    <row r="6" spans="1:14" ht="28.8" x14ac:dyDescent="0.3">
      <c r="A6" s="2" t="s">
        <v>804</v>
      </c>
      <c r="B6" s="2" t="s">
        <v>63</v>
      </c>
      <c r="C6" s="2" t="s">
        <v>64</v>
      </c>
      <c r="D6" s="2" t="s">
        <v>767</v>
      </c>
      <c r="E6" s="2" t="s">
        <v>782</v>
      </c>
      <c r="F6" s="2" t="s">
        <v>783</v>
      </c>
      <c r="G6" s="2" t="s">
        <v>770</v>
      </c>
      <c r="H6" s="7">
        <v>8</v>
      </c>
      <c r="I6" s="3">
        <v>900</v>
      </c>
      <c r="J6" s="2" t="s">
        <v>717</v>
      </c>
      <c r="K6" s="3">
        <v>7200</v>
      </c>
      <c r="L6" s="2" t="s">
        <v>714</v>
      </c>
      <c r="M6" s="2" t="s">
        <v>60</v>
      </c>
      <c r="N6" s="2" t="s">
        <v>771</v>
      </c>
    </row>
    <row r="7" spans="1:14" ht="28.8" x14ac:dyDescent="0.3">
      <c r="A7" s="2" t="s">
        <v>805</v>
      </c>
      <c r="B7" s="2" t="s">
        <v>63</v>
      </c>
      <c r="C7" s="2" t="s">
        <v>64</v>
      </c>
      <c r="D7" s="2" t="s">
        <v>785</v>
      </c>
      <c r="E7" s="2" t="s">
        <v>786</v>
      </c>
      <c r="F7" s="2" t="s">
        <v>787</v>
      </c>
      <c r="G7" s="2" t="s">
        <v>770</v>
      </c>
      <c r="H7" s="7">
        <v>8</v>
      </c>
      <c r="I7" s="3">
        <v>2300</v>
      </c>
      <c r="J7" s="2" t="s">
        <v>717</v>
      </c>
      <c r="K7" s="3">
        <v>18400</v>
      </c>
      <c r="L7" s="2" t="s">
        <v>714</v>
      </c>
      <c r="M7" s="2" t="s">
        <v>60</v>
      </c>
      <c r="N7" s="2" t="s">
        <v>771</v>
      </c>
    </row>
    <row r="8" spans="1:14" ht="28.8" x14ac:dyDescent="0.3">
      <c r="A8" s="2" t="s">
        <v>806</v>
      </c>
      <c r="B8" s="2" t="s">
        <v>63</v>
      </c>
      <c r="C8" s="2" t="s">
        <v>64</v>
      </c>
      <c r="D8" s="2" t="s">
        <v>785</v>
      </c>
      <c r="E8" s="2" t="s">
        <v>789</v>
      </c>
      <c r="F8" s="2" t="s">
        <v>790</v>
      </c>
      <c r="G8" s="2" t="s">
        <v>770</v>
      </c>
      <c r="H8" s="7">
        <v>4</v>
      </c>
      <c r="I8" s="3">
        <v>1600</v>
      </c>
      <c r="J8" s="2" t="s">
        <v>717</v>
      </c>
      <c r="K8" s="3">
        <v>6400</v>
      </c>
      <c r="L8" s="2" t="s">
        <v>714</v>
      </c>
      <c r="M8" s="2" t="s">
        <v>60</v>
      </c>
      <c r="N8" s="2" t="s">
        <v>771</v>
      </c>
    </row>
    <row r="9" spans="1:14" ht="28.8" x14ac:dyDescent="0.3">
      <c r="A9" s="2" t="s">
        <v>807</v>
      </c>
      <c r="B9" s="2" t="s">
        <v>63</v>
      </c>
      <c r="C9" s="2" t="s">
        <v>64</v>
      </c>
      <c r="D9" s="2" t="s">
        <v>767</v>
      </c>
      <c r="E9" s="2" t="s">
        <v>792</v>
      </c>
      <c r="F9" s="2" t="s">
        <v>793</v>
      </c>
      <c r="G9" s="2" t="s">
        <v>794</v>
      </c>
      <c r="H9" s="7">
        <v>1</v>
      </c>
      <c r="I9" s="3">
        <v>15800</v>
      </c>
      <c r="J9" s="2" t="s">
        <v>717</v>
      </c>
      <c r="K9" s="3">
        <v>15800</v>
      </c>
      <c r="L9" s="2" t="s">
        <v>714</v>
      </c>
      <c r="M9" s="2" t="s">
        <v>60</v>
      </c>
      <c r="N9" s="2" t="s">
        <v>771</v>
      </c>
    </row>
    <row r="10" spans="1:14" ht="57.6" x14ac:dyDescent="0.3">
      <c r="A10" s="2" t="s">
        <v>808</v>
      </c>
      <c r="B10" s="2" t="s">
        <v>63</v>
      </c>
      <c r="C10" s="2" t="s">
        <v>64</v>
      </c>
      <c r="D10" s="2" t="s">
        <v>796</v>
      </c>
      <c r="E10" s="2" t="s">
        <v>797</v>
      </c>
      <c r="F10" s="2" t="s">
        <v>798</v>
      </c>
      <c r="G10" s="2" t="s">
        <v>794</v>
      </c>
      <c r="H10" s="7">
        <v>1</v>
      </c>
      <c r="I10" s="3">
        <v>85200</v>
      </c>
      <c r="J10" s="2" t="s">
        <v>799</v>
      </c>
      <c r="K10" s="3">
        <v>85200</v>
      </c>
      <c r="L10" s="2" t="s">
        <v>714</v>
      </c>
      <c r="M10" s="2" t="s">
        <v>60</v>
      </c>
      <c r="N10" s="2" t="s">
        <v>771</v>
      </c>
    </row>
  </sheetData>
  <dataValidations count="5">
    <dataValidation type="list" sqref="C2:C100" xr:uid="{00000000-0002-0000-0800-000000000000}">
      <formula1>"AP,BA,CE,DF,ES,MG,PA,PE,RN,RS,SE,RR,GO,AM"</formula1>
    </dataValidation>
    <dataValidation type="list" sqref="G2:G100" xr:uid="{00000000-0002-0000-0800-000001000000}">
      <formula1>"un,lote"</formula1>
    </dataValidation>
    <dataValidation type="list" sqref="J2:J100" xr:uid="{00000000-0002-0000-0800-000002000000}">
      <formula1>"Repasse,Contrapartida,Repasse/Contrapartida"</formula1>
    </dataValidation>
    <dataValidation type="list" sqref="L2:L100" xr:uid="{00000000-0002-0000-0800-000003000000}">
      <formula1>"Capital,Custeio"</formula1>
    </dataValidation>
    <dataValidation type="list" sqref="M2:M100" xr:uid="{00000000-0002-0000-0800-000004000000}">
      <formula1>"Sim,Não"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0"/>
  <sheetViews>
    <sheetView workbookViewId="0"/>
  </sheetViews>
  <sheetFormatPr defaultRowHeight="14.4" x14ac:dyDescent="0.3"/>
  <cols>
    <col min="1" max="1" width="18" customWidth="1"/>
    <col min="2" max="2" width="16" customWidth="1"/>
    <col min="3" max="3" width="8" customWidth="1"/>
    <col min="4" max="4" width="26" customWidth="1"/>
    <col min="5" max="5" width="34" customWidth="1"/>
    <col min="6" max="6" width="42" customWidth="1"/>
    <col min="7" max="8" width="12" customWidth="1"/>
    <col min="9" max="9" width="16" customWidth="1"/>
    <col min="10" max="10" width="20" customWidth="1"/>
    <col min="11" max="11" width="16" customWidth="1"/>
    <col min="12" max="12" width="14" customWidth="1"/>
    <col min="13" max="13" width="12" customWidth="1"/>
    <col min="14" max="14" width="42" customWidth="1"/>
  </cols>
  <sheetData>
    <row r="1" spans="1:14" x14ac:dyDescent="0.3">
      <c r="A1" s="6" t="s">
        <v>757</v>
      </c>
      <c r="B1" s="6" t="s">
        <v>0</v>
      </c>
      <c r="C1" s="6" t="s">
        <v>1</v>
      </c>
      <c r="D1" s="6" t="s">
        <v>758</v>
      </c>
      <c r="E1" s="6" t="s">
        <v>759</v>
      </c>
      <c r="F1" s="6" t="s">
        <v>760</v>
      </c>
      <c r="G1" s="6" t="s">
        <v>761</v>
      </c>
      <c r="H1" s="6" t="s">
        <v>762</v>
      </c>
      <c r="I1" s="6" t="s">
        <v>763</v>
      </c>
      <c r="J1" s="6" t="s">
        <v>716</v>
      </c>
      <c r="K1" s="6" t="s">
        <v>764</v>
      </c>
      <c r="L1" s="6" t="s">
        <v>713</v>
      </c>
      <c r="M1" s="6" t="s">
        <v>765</v>
      </c>
      <c r="N1" s="6" t="s">
        <v>201</v>
      </c>
    </row>
    <row r="2" spans="1:14" ht="28.8" x14ac:dyDescent="0.3">
      <c r="A2" s="2" t="s">
        <v>809</v>
      </c>
      <c r="B2" s="2" t="s">
        <v>73</v>
      </c>
      <c r="C2" s="2" t="s">
        <v>74</v>
      </c>
      <c r="D2" s="2" t="s">
        <v>767</v>
      </c>
      <c r="E2" s="2" t="s">
        <v>768</v>
      </c>
      <c r="F2" s="2" t="s">
        <v>769</v>
      </c>
      <c r="G2" s="2" t="s">
        <v>770</v>
      </c>
      <c r="H2" s="7">
        <v>7</v>
      </c>
      <c r="I2" s="3">
        <v>5800</v>
      </c>
      <c r="J2" s="2" t="s">
        <v>717</v>
      </c>
      <c r="K2" s="3">
        <v>40600</v>
      </c>
      <c r="L2" s="2" t="s">
        <v>714</v>
      </c>
      <c r="M2" s="2" t="s">
        <v>60</v>
      </c>
      <c r="N2" s="2" t="s">
        <v>771</v>
      </c>
    </row>
    <row r="3" spans="1:14" ht="28.8" x14ac:dyDescent="0.3">
      <c r="A3" s="2" t="s">
        <v>810</v>
      </c>
      <c r="B3" s="2" t="s">
        <v>73</v>
      </c>
      <c r="C3" s="2" t="s">
        <v>74</v>
      </c>
      <c r="D3" s="2" t="s">
        <v>767</v>
      </c>
      <c r="E3" s="2" t="s">
        <v>773</v>
      </c>
      <c r="F3" s="2" t="s">
        <v>774</v>
      </c>
      <c r="G3" s="2" t="s">
        <v>770</v>
      </c>
      <c r="H3" s="7">
        <v>5</v>
      </c>
      <c r="I3" s="3">
        <v>5200</v>
      </c>
      <c r="J3" s="2" t="s">
        <v>717</v>
      </c>
      <c r="K3" s="3">
        <v>26000</v>
      </c>
      <c r="L3" s="2" t="s">
        <v>714</v>
      </c>
      <c r="M3" s="2" t="s">
        <v>60</v>
      </c>
      <c r="N3" s="2" t="s">
        <v>771</v>
      </c>
    </row>
    <row r="4" spans="1:14" ht="28.8" x14ac:dyDescent="0.3">
      <c r="A4" s="2" t="s">
        <v>811</v>
      </c>
      <c r="B4" s="2" t="s">
        <v>73</v>
      </c>
      <c r="C4" s="2" t="s">
        <v>74</v>
      </c>
      <c r="D4" s="2" t="s">
        <v>767</v>
      </c>
      <c r="E4" s="2" t="s">
        <v>776</v>
      </c>
      <c r="F4" s="2" t="s">
        <v>777</v>
      </c>
      <c r="G4" s="2" t="s">
        <v>770</v>
      </c>
      <c r="H4" s="7">
        <v>2</v>
      </c>
      <c r="I4" s="3">
        <v>4500</v>
      </c>
      <c r="J4" s="2" t="s">
        <v>717</v>
      </c>
      <c r="K4" s="3">
        <v>9000</v>
      </c>
      <c r="L4" s="2" t="s">
        <v>714</v>
      </c>
      <c r="M4" s="2" t="s">
        <v>60</v>
      </c>
      <c r="N4" s="2" t="s">
        <v>771</v>
      </c>
    </row>
    <row r="5" spans="1:14" ht="28.8" x14ac:dyDescent="0.3">
      <c r="A5" s="2" t="s">
        <v>812</v>
      </c>
      <c r="B5" s="2" t="s">
        <v>73</v>
      </c>
      <c r="C5" s="2" t="s">
        <v>74</v>
      </c>
      <c r="D5" s="2" t="s">
        <v>767</v>
      </c>
      <c r="E5" s="2" t="s">
        <v>779</v>
      </c>
      <c r="F5" s="2" t="s">
        <v>780</v>
      </c>
      <c r="G5" s="2" t="s">
        <v>770</v>
      </c>
      <c r="H5" s="7">
        <v>2</v>
      </c>
      <c r="I5" s="3">
        <v>3200</v>
      </c>
      <c r="J5" s="2" t="s">
        <v>717</v>
      </c>
      <c r="K5" s="3">
        <v>6400</v>
      </c>
      <c r="L5" s="2" t="s">
        <v>714</v>
      </c>
      <c r="M5" s="2" t="s">
        <v>60</v>
      </c>
      <c r="N5" s="2" t="s">
        <v>771</v>
      </c>
    </row>
    <row r="6" spans="1:14" ht="28.8" x14ac:dyDescent="0.3">
      <c r="A6" s="2" t="s">
        <v>813</v>
      </c>
      <c r="B6" s="2" t="s">
        <v>73</v>
      </c>
      <c r="C6" s="2" t="s">
        <v>74</v>
      </c>
      <c r="D6" s="2" t="s">
        <v>767</v>
      </c>
      <c r="E6" s="2" t="s">
        <v>782</v>
      </c>
      <c r="F6" s="2" t="s">
        <v>783</v>
      </c>
      <c r="G6" s="2" t="s">
        <v>770</v>
      </c>
      <c r="H6" s="7">
        <v>8</v>
      </c>
      <c r="I6" s="3">
        <v>900</v>
      </c>
      <c r="J6" s="2" t="s">
        <v>717</v>
      </c>
      <c r="K6" s="3">
        <v>7200</v>
      </c>
      <c r="L6" s="2" t="s">
        <v>714</v>
      </c>
      <c r="M6" s="2" t="s">
        <v>60</v>
      </c>
      <c r="N6" s="2" t="s">
        <v>771</v>
      </c>
    </row>
    <row r="7" spans="1:14" ht="28.8" x14ac:dyDescent="0.3">
      <c r="A7" s="2" t="s">
        <v>814</v>
      </c>
      <c r="B7" s="2" t="s">
        <v>73</v>
      </c>
      <c r="C7" s="2" t="s">
        <v>74</v>
      </c>
      <c r="D7" s="2" t="s">
        <v>785</v>
      </c>
      <c r="E7" s="2" t="s">
        <v>786</v>
      </c>
      <c r="F7" s="2" t="s">
        <v>787</v>
      </c>
      <c r="G7" s="2" t="s">
        <v>770</v>
      </c>
      <c r="H7" s="7">
        <v>8</v>
      </c>
      <c r="I7" s="3">
        <v>2300</v>
      </c>
      <c r="J7" s="2" t="s">
        <v>717</v>
      </c>
      <c r="K7" s="3">
        <v>18400</v>
      </c>
      <c r="L7" s="2" t="s">
        <v>714</v>
      </c>
      <c r="M7" s="2" t="s">
        <v>60</v>
      </c>
      <c r="N7" s="2" t="s">
        <v>771</v>
      </c>
    </row>
    <row r="8" spans="1:14" ht="28.8" x14ac:dyDescent="0.3">
      <c r="A8" s="2" t="s">
        <v>815</v>
      </c>
      <c r="B8" s="2" t="s">
        <v>73</v>
      </c>
      <c r="C8" s="2" t="s">
        <v>74</v>
      </c>
      <c r="D8" s="2" t="s">
        <v>785</v>
      </c>
      <c r="E8" s="2" t="s">
        <v>789</v>
      </c>
      <c r="F8" s="2" t="s">
        <v>790</v>
      </c>
      <c r="G8" s="2" t="s">
        <v>770</v>
      </c>
      <c r="H8" s="7">
        <v>4</v>
      </c>
      <c r="I8" s="3">
        <v>1600</v>
      </c>
      <c r="J8" s="2" t="s">
        <v>717</v>
      </c>
      <c r="K8" s="3">
        <v>6400</v>
      </c>
      <c r="L8" s="2" t="s">
        <v>714</v>
      </c>
      <c r="M8" s="2" t="s">
        <v>60</v>
      </c>
      <c r="N8" s="2" t="s">
        <v>771</v>
      </c>
    </row>
    <row r="9" spans="1:14" ht="28.8" x14ac:dyDescent="0.3">
      <c r="A9" s="2" t="s">
        <v>816</v>
      </c>
      <c r="B9" s="2" t="s">
        <v>73</v>
      </c>
      <c r="C9" s="2" t="s">
        <v>74</v>
      </c>
      <c r="D9" s="2" t="s">
        <v>767</v>
      </c>
      <c r="E9" s="2" t="s">
        <v>792</v>
      </c>
      <c r="F9" s="2" t="s">
        <v>793</v>
      </c>
      <c r="G9" s="2" t="s">
        <v>794</v>
      </c>
      <c r="H9" s="7">
        <v>1</v>
      </c>
      <c r="I9" s="3">
        <v>15800</v>
      </c>
      <c r="J9" s="2" t="s">
        <v>717</v>
      </c>
      <c r="K9" s="3">
        <v>15800</v>
      </c>
      <c r="L9" s="2" t="s">
        <v>714</v>
      </c>
      <c r="M9" s="2" t="s">
        <v>60</v>
      </c>
      <c r="N9" s="2" t="s">
        <v>771</v>
      </c>
    </row>
    <row r="10" spans="1:14" ht="57.6" x14ac:dyDescent="0.3">
      <c r="A10" s="2" t="s">
        <v>817</v>
      </c>
      <c r="B10" s="2" t="s">
        <v>73</v>
      </c>
      <c r="C10" s="2" t="s">
        <v>74</v>
      </c>
      <c r="D10" s="2" t="s">
        <v>796</v>
      </c>
      <c r="E10" s="2" t="s">
        <v>797</v>
      </c>
      <c r="F10" s="2" t="s">
        <v>798</v>
      </c>
      <c r="G10" s="2" t="s">
        <v>794</v>
      </c>
      <c r="H10" s="7">
        <v>1</v>
      </c>
      <c r="I10" s="3">
        <v>80200</v>
      </c>
      <c r="J10" s="2" t="s">
        <v>799</v>
      </c>
      <c r="K10" s="3">
        <v>80200</v>
      </c>
      <c r="L10" s="2" t="s">
        <v>714</v>
      </c>
      <c r="M10" s="2" t="s">
        <v>60</v>
      </c>
      <c r="N10" s="2" t="s">
        <v>771</v>
      </c>
    </row>
  </sheetData>
  <dataValidations count="5">
    <dataValidation type="list" sqref="C2:C100" xr:uid="{00000000-0002-0000-0900-000000000000}">
      <formula1>"AP,BA,CE,DF,ES,MG,PA,PE,RN,RS,SE,RR,GO,AM"</formula1>
    </dataValidation>
    <dataValidation type="list" sqref="G2:G100" xr:uid="{00000000-0002-0000-0900-000001000000}">
      <formula1>"un,lote"</formula1>
    </dataValidation>
    <dataValidation type="list" sqref="J2:J100" xr:uid="{00000000-0002-0000-0900-000002000000}">
      <formula1>"Repasse,Contrapartida,Repasse/Contrapartida"</formula1>
    </dataValidation>
    <dataValidation type="list" sqref="L2:L100" xr:uid="{00000000-0002-0000-0900-000003000000}">
      <formula1>"Capital,Custeio"</formula1>
    </dataValidation>
    <dataValidation type="list" sqref="M2:M100" xr:uid="{00000000-0002-0000-0900-000004000000}">
      <formula1>"Sim,Não"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0"/>
  <sheetViews>
    <sheetView workbookViewId="0">
      <selection activeCell="M6" sqref="M6"/>
    </sheetView>
  </sheetViews>
  <sheetFormatPr defaultRowHeight="14.4" x14ac:dyDescent="0.3"/>
  <cols>
    <col min="1" max="1" width="18" customWidth="1"/>
    <col min="2" max="2" width="16" customWidth="1"/>
    <col min="3" max="3" width="8" customWidth="1"/>
    <col min="4" max="4" width="26" customWidth="1"/>
    <col min="5" max="5" width="34" customWidth="1"/>
    <col min="6" max="6" width="42" customWidth="1"/>
    <col min="7" max="8" width="12" customWidth="1"/>
    <col min="9" max="9" width="16" customWidth="1"/>
    <col min="10" max="10" width="20" customWidth="1"/>
    <col min="11" max="11" width="16" customWidth="1"/>
    <col min="12" max="12" width="14" customWidth="1"/>
    <col min="13" max="13" width="12" customWidth="1"/>
    <col min="14" max="14" width="42" customWidth="1"/>
  </cols>
  <sheetData>
    <row r="1" spans="1:14" x14ac:dyDescent="0.3">
      <c r="A1" s="6" t="s">
        <v>757</v>
      </c>
      <c r="B1" s="6" t="s">
        <v>0</v>
      </c>
      <c r="C1" s="6" t="s">
        <v>1</v>
      </c>
      <c r="D1" s="6" t="s">
        <v>758</v>
      </c>
      <c r="E1" s="6" t="s">
        <v>759</v>
      </c>
      <c r="F1" s="6" t="s">
        <v>760</v>
      </c>
      <c r="G1" s="6" t="s">
        <v>761</v>
      </c>
      <c r="H1" s="6" t="s">
        <v>762</v>
      </c>
      <c r="I1" s="6" t="s">
        <v>763</v>
      </c>
      <c r="J1" s="6" t="s">
        <v>716</v>
      </c>
      <c r="K1" s="6" t="s">
        <v>764</v>
      </c>
      <c r="L1" s="6" t="s">
        <v>713</v>
      </c>
      <c r="M1" s="6" t="s">
        <v>765</v>
      </c>
      <c r="N1" s="6" t="s">
        <v>201</v>
      </c>
    </row>
    <row r="2" spans="1:14" ht="28.8" x14ac:dyDescent="0.3">
      <c r="A2" s="2" t="s">
        <v>818</v>
      </c>
      <c r="B2" s="2" t="s">
        <v>83</v>
      </c>
      <c r="C2" s="2" t="s">
        <v>84</v>
      </c>
      <c r="D2" s="2" t="s">
        <v>767</v>
      </c>
      <c r="E2" s="2" t="s">
        <v>768</v>
      </c>
      <c r="F2" s="2" t="s">
        <v>769</v>
      </c>
      <c r="G2" s="2" t="s">
        <v>770</v>
      </c>
      <c r="H2" s="7">
        <v>7</v>
      </c>
      <c r="I2" s="3">
        <v>5800</v>
      </c>
      <c r="J2" s="2" t="s">
        <v>717</v>
      </c>
      <c r="K2" s="3">
        <v>40600</v>
      </c>
      <c r="L2" s="2" t="s">
        <v>714</v>
      </c>
      <c r="M2" s="2" t="s">
        <v>60</v>
      </c>
      <c r="N2" s="2" t="s">
        <v>771</v>
      </c>
    </row>
    <row r="3" spans="1:14" ht="28.8" x14ac:dyDescent="0.3">
      <c r="A3" s="2" t="s">
        <v>819</v>
      </c>
      <c r="B3" s="2" t="s">
        <v>83</v>
      </c>
      <c r="C3" s="2" t="s">
        <v>84</v>
      </c>
      <c r="D3" s="2" t="s">
        <v>767</v>
      </c>
      <c r="E3" s="2" t="s">
        <v>773</v>
      </c>
      <c r="F3" s="2" t="s">
        <v>774</v>
      </c>
      <c r="G3" s="2" t="s">
        <v>770</v>
      </c>
      <c r="H3" s="7">
        <v>5</v>
      </c>
      <c r="I3" s="3">
        <v>5200</v>
      </c>
      <c r="J3" s="2" t="s">
        <v>717</v>
      </c>
      <c r="K3" s="3">
        <v>26000</v>
      </c>
      <c r="L3" s="2" t="s">
        <v>714</v>
      </c>
      <c r="M3" s="2" t="s">
        <v>60</v>
      </c>
      <c r="N3" s="2" t="s">
        <v>771</v>
      </c>
    </row>
    <row r="4" spans="1:14" ht="28.8" x14ac:dyDescent="0.3">
      <c r="A4" s="2" t="s">
        <v>820</v>
      </c>
      <c r="B4" s="2" t="s">
        <v>83</v>
      </c>
      <c r="C4" s="2" t="s">
        <v>84</v>
      </c>
      <c r="D4" s="2" t="s">
        <v>767</v>
      </c>
      <c r="E4" s="2" t="s">
        <v>776</v>
      </c>
      <c r="F4" s="2" t="s">
        <v>777</v>
      </c>
      <c r="G4" s="2" t="s">
        <v>770</v>
      </c>
      <c r="H4" s="7">
        <v>2</v>
      </c>
      <c r="I4" s="3">
        <v>4500</v>
      </c>
      <c r="J4" s="2" t="s">
        <v>717</v>
      </c>
      <c r="K4" s="3">
        <v>9000</v>
      </c>
      <c r="L4" s="2" t="s">
        <v>714</v>
      </c>
      <c r="M4" s="2" t="s">
        <v>60</v>
      </c>
      <c r="N4" s="2" t="s">
        <v>771</v>
      </c>
    </row>
    <row r="5" spans="1:14" ht="28.8" x14ac:dyDescent="0.3">
      <c r="A5" s="2" t="s">
        <v>821</v>
      </c>
      <c r="B5" s="2" t="s">
        <v>83</v>
      </c>
      <c r="C5" s="2" t="s">
        <v>84</v>
      </c>
      <c r="D5" s="2" t="s">
        <v>767</v>
      </c>
      <c r="E5" s="2" t="s">
        <v>779</v>
      </c>
      <c r="F5" s="2" t="s">
        <v>780</v>
      </c>
      <c r="G5" s="2" t="s">
        <v>770</v>
      </c>
      <c r="H5" s="7">
        <v>2</v>
      </c>
      <c r="I5" s="3">
        <v>3200</v>
      </c>
      <c r="J5" s="2" t="s">
        <v>717</v>
      </c>
      <c r="K5" s="3">
        <v>6400</v>
      </c>
      <c r="L5" s="2" t="s">
        <v>714</v>
      </c>
      <c r="M5" s="2" t="s">
        <v>60</v>
      </c>
      <c r="N5" s="2" t="s">
        <v>771</v>
      </c>
    </row>
    <row r="6" spans="1:14" ht="28.8" x14ac:dyDescent="0.3">
      <c r="A6" s="2" t="s">
        <v>822</v>
      </c>
      <c r="B6" s="2" t="s">
        <v>83</v>
      </c>
      <c r="C6" s="2" t="s">
        <v>84</v>
      </c>
      <c r="D6" s="2" t="s">
        <v>767</v>
      </c>
      <c r="E6" s="2" t="s">
        <v>782</v>
      </c>
      <c r="F6" s="2" t="s">
        <v>783</v>
      </c>
      <c r="G6" s="2" t="s">
        <v>770</v>
      </c>
      <c r="H6" s="7">
        <v>8</v>
      </c>
      <c r="I6" s="3">
        <v>900</v>
      </c>
      <c r="J6" s="2" t="s">
        <v>717</v>
      </c>
      <c r="K6" s="3">
        <v>7200</v>
      </c>
      <c r="L6" s="2" t="s">
        <v>714</v>
      </c>
      <c r="M6" s="2" t="s">
        <v>60</v>
      </c>
      <c r="N6" s="2" t="s">
        <v>771</v>
      </c>
    </row>
    <row r="7" spans="1:14" ht="28.8" x14ac:dyDescent="0.3">
      <c r="A7" s="2" t="s">
        <v>823</v>
      </c>
      <c r="B7" s="2" t="s">
        <v>83</v>
      </c>
      <c r="C7" s="2" t="s">
        <v>84</v>
      </c>
      <c r="D7" s="2" t="s">
        <v>785</v>
      </c>
      <c r="E7" s="2" t="s">
        <v>786</v>
      </c>
      <c r="F7" s="2" t="s">
        <v>787</v>
      </c>
      <c r="G7" s="2" t="s">
        <v>770</v>
      </c>
      <c r="H7" s="7">
        <v>8</v>
      </c>
      <c r="I7" s="3">
        <v>2300</v>
      </c>
      <c r="J7" s="2" t="s">
        <v>717</v>
      </c>
      <c r="K7" s="3">
        <v>18400</v>
      </c>
      <c r="L7" s="2" t="s">
        <v>714</v>
      </c>
      <c r="M7" s="2" t="s">
        <v>60</v>
      </c>
      <c r="N7" s="2" t="s">
        <v>771</v>
      </c>
    </row>
    <row r="8" spans="1:14" ht="28.8" x14ac:dyDescent="0.3">
      <c r="A8" s="2" t="s">
        <v>824</v>
      </c>
      <c r="B8" s="2" t="s">
        <v>83</v>
      </c>
      <c r="C8" s="2" t="s">
        <v>84</v>
      </c>
      <c r="D8" s="2" t="s">
        <v>785</v>
      </c>
      <c r="E8" s="2" t="s">
        <v>789</v>
      </c>
      <c r="F8" s="2" t="s">
        <v>790</v>
      </c>
      <c r="G8" s="2" t="s">
        <v>770</v>
      </c>
      <c r="H8" s="7">
        <v>4</v>
      </c>
      <c r="I8" s="3">
        <v>1600</v>
      </c>
      <c r="J8" s="2" t="s">
        <v>717</v>
      </c>
      <c r="K8" s="3">
        <v>6400</v>
      </c>
      <c r="L8" s="2" t="s">
        <v>714</v>
      </c>
      <c r="M8" s="2" t="s">
        <v>60</v>
      </c>
      <c r="N8" s="2" t="s">
        <v>771</v>
      </c>
    </row>
    <row r="9" spans="1:14" ht="28.8" x14ac:dyDescent="0.3">
      <c r="A9" s="2" t="s">
        <v>825</v>
      </c>
      <c r="B9" s="2" t="s">
        <v>83</v>
      </c>
      <c r="C9" s="2" t="s">
        <v>84</v>
      </c>
      <c r="D9" s="2" t="s">
        <v>767</v>
      </c>
      <c r="E9" s="2" t="s">
        <v>792</v>
      </c>
      <c r="F9" s="2" t="s">
        <v>793</v>
      </c>
      <c r="G9" s="2" t="s">
        <v>794</v>
      </c>
      <c r="H9" s="7">
        <v>1</v>
      </c>
      <c r="I9" s="3">
        <v>15800</v>
      </c>
      <c r="J9" s="2" t="s">
        <v>717</v>
      </c>
      <c r="K9" s="3">
        <v>15800</v>
      </c>
      <c r="L9" s="2" t="s">
        <v>714</v>
      </c>
      <c r="M9" s="2" t="s">
        <v>60</v>
      </c>
      <c r="N9" s="2" t="s">
        <v>771</v>
      </c>
    </row>
    <row r="10" spans="1:14" ht="57.6" x14ac:dyDescent="0.3">
      <c r="A10" s="2" t="s">
        <v>826</v>
      </c>
      <c r="B10" s="2" t="s">
        <v>83</v>
      </c>
      <c r="C10" s="2" t="s">
        <v>84</v>
      </c>
      <c r="D10" s="2" t="s">
        <v>796</v>
      </c>
      <c r="E10" s="2" t="s">
        <v>797</v>
      </c>
      <c r="F10" s="2" t="s">
        <v>798</v>
      </c>
      <c r="G10" s="2" t="s">
        <v>794</v>
      </c>
      <c r="H10" s="7">
        <v>1</v>
      </c>
      <c r="I10" s="3">
        <v>95200</v>
      </c>
      <c r="J10" s="2" t="s">
        <v>799</v>
      </c>
      <c r="K10" s="3">
        <v>95200</v>
      </c>
      <c r="L10" s="2" t="s">
        <v>714</v>
      </c>
      <c r="M10" s="2" t="s">
        <v>60</v>
      </c>
      <c r="N10" s="2" t="s">
        <v>771</v>
      </c>
    </row>
  </sheetData>
  <dataValidations count="5">
    <dataValidation type="list" sqref="C2:C100" xr:uid="{00000000-0002-0000-0A00-000000000000}">
      <formula1>"AP,BA,CE,DF,ES,MG,PA,PE,RN,RS,SE,RR,GO,AM"</formula1>
    </dataValidation>
    <dataValidation type="list" sqref="G2:G100" xr:uid="{00000000-0002-0000-0A00-000001000000}">
      <formula1>"un,lote"</formula1>
    </dataValidation>
    <dataValidation type="list" sqref="J2:J100" xr:uid="{00000000-0002-0000-0A00-000002000000}">
      <formula1>"Repasse,Contrapartida,Repasse/Contrapartida"</formula1>
    </dataValidation>
    <dataValidation type="list" sqref="L2:L100" xr:uid="{00000000-0002-0000-0A00-000003000000}">
      <formula1>"Capital,Custeio"</formula1>
    </dataValidation>
    <dataValidation type="list" sqref="M2:M100" xr:uid="{00000000-0002-0000-0A00-000004000000}">
      <formula1>"Sim,Não"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10"/>
  <sheetViews>
    <sheetView workbookViewId="0"/>
  </sheetViews>
  <sheetFormatPr defaultRowHeight="14.4" x14ac:dyDescent="0.3"/>
  <cols>
    <col min="1" max="1" width="18" customWidth="1"/>
    <col min="2" max="2" width="16" customWidth="1"/>
    <col min="3" max="3" width="8" customWidth="1"/>
    <col min="4" max="4" width="26" customWidth="1"/>
    <col min="5" max="5" width="34" customWidth="1"/>
    <col min="6" max="6" width="42" customWidth="1"/>
    <col min="7" max="8" width="12" customWidth="1"/>
    <col min="9" max="9" width="16" customWidth="1"/>
    <col min="10" max="10" width="20" customWidth="1"/>
    <col min="11" max="11" width="16" customWidth="1"/>
    <col min="12" max="12" width="14" customWidth="1"/>
    <col min="13" max="13" width="12" customWidth="1"/>
    <col min="14" max="14" width="42" customWidth="1"/>
  </cols>
  <sheetData>
    <row r="1" spans="1:14" x14ac:dyDescent="0.3">
      <c r="A1" s="6" t="s">
        <v>757</v>
      </c>
      <c r="B1" s="6" t="s">
        <v>0</v>
      </c>
      <c r="C1" s="6" t="s">
        <v>1</v>
      </c>
      <c r="D1" s="6" t="s">
        <v>758</v>
      </c>
      <c r="E1" s="6" t="s">
        <v>759</v>
      </c>
      <c r="F1" s="6" t="s">
        <v>760</v>
      </c>
      <c r="G1" s="6" t="s">
        <v>761</v>
      </c>
      <c r="H1" s="6" t="s">
        <v>762</v>
      </c>
      <c r="I1" s="6" t="s">
        <v>763</v>
      </c>
      <c r="J1" s="6" t="s">
        <v>716</v>
      </c>
      <c r="K1" s="6" t="s">
        <v>764</v>
      </c>
      <c r="L1" s="6" t="s">
        <v>713</v>
      </c>
      <c r="M1" s="6" t="s">
        <v>765</v>
      </c>
      <c r="N1" s="6" t="s">
        <v>201</v>
      </c>
    </row>
    <row r="2" spans="1:14" ht="28.8" x14ac:dyDescent="0.3">
      <c r="A2" s="2" t="s">
        <v>827</v>
      </c>
      <c r="B2" s="2" t="s">
        <v>93</v>
      </c>
      <c r="C2" s="2" t="s">
        <v>94</v>
      </c>
      <c r="D2" s="2" t="s">
        <v>767</v>
      </c>
      <c r="E2" s="2" t="s">
        <v>768</v>
      </c>
      <c r="F2" s="2" t="s">
        <v>769</v>
      </c>
      <c r="G2" s="2" t="s">
        <v>770</v>
      </c>
      <c r="H2" s="7">
        <v>7</v>
      </c>
      <c r="I2" s="3">
        <v>5800</v>
      </c>
      <c r="J2" s="2" t="s">
        <v>717</v>
      </c>
      <c r="K2" s="3">
        <v>40600</v>
      </c>
      <c r="L2" s="2" t="s">
        <v>714</v>
      </c>
      <c r="M2" s="2" t="s">
        <v>60</v>
      </c>
      <c r="N2" s="2" t="s">
        <v>771</v>
      </c>
    </row>
    <row r="3" spans="1:14" ht="28.8" x14ac:dyDescent="0.3">
      <c r="A3" s="2" t="s">
        <v>828</v>
      </c>
      <c r="B3" s="2" t="s">
        <v>93</v>
      </c>
      <c r="C3" s="2" t="s">
        <v>94</v>
      </c>
      <c r="D3" s="2" t="s">
        <v>767</v>
      </c>
      <c r="E3" s="2" t="s">
        <v>773</v>
      </c>
      <c r="F3" s="2" t="s">
        <v>774</v>
      </c>
      <c r="G3" s="2" t="s">
        <v>770</v>
      </c>
      <c r="H3" s="7">
        <v>5</v>
      </c>
      <c r="I3" s="3">
        <v>5200</v>
      </c>
      <c r="J3" s="2" t="s">
        <v>717</v>
      </c>
      <c r="K3" s="3">
        <v>26000</v>
      </c>
      <c r="L3" s="2" t="s">
        <v>714</v>
      </c>
      <c r="M3" s="2" t="s">
        <v>60</v>
      </c>
      <c r="N3" s="2" t="s">
        <v>771</v>
      </c>
    </row>
    <row r="4" spans="1:14" ht="28.8" x14ac:dyDescent="0.3">
      <c r="A4" s="2" t="s">
        <v>829</v>
      </c>
      <c r="B4" s="2" t="s">
        <v>93</v>
      </c>
      <c r="C4" s="2" t="s">
        <v>94</v>
      </c>
      <c r="D4" s="2" t="s">
        <v>767</v>
      </c>
      <c r="E4" s="2" t="s">
        <v>776</v>
      </c>
      <c r="F4" s="2" t="s">
        <v>777</v>
      </c>
      <c r="G4" s="2" t="s">
        <v>770</v>
      </c>
      <c r="H4" s="7">
        <v>2</v>
      </c>
      <c r="I4" s="3">
        <v>4500</v>
      </c>
      <c r="J4" s="2" t="s">
        <v>717</v>
      </c>
      <c r="K4" s="3">
        <v>9000</v>
      </c>
      <c r="L4" s="2" t="s">
        <v>714</v>
      </c>
      <c r="M4" s="2" t="s">
        <v>60</v>
      </c>
      <c r="N4" s="2" t="s">
        <v>771</v>
      </c>
    </row>
    <row r="5" spans="1:14" ht="28.8" x14ac:dyDescent="0.3">
      <c r="A5" s="2" t="s">
        <v>830</v>
      </c>
      <c r="B5" s="2" t="s">
        <v>93</v>
      </c>
      <c r="C5" s="2" t="s">
        <v>94</v>
      </c>
      <c r="D5" s="2" t="s">
        <v>767</v>
      </c>
      <c r="E5" s="2" t="s">
        <v>779</v>
      </c>
      <c r="F5" s="2" t="s">
        <v>780</v>
      </c>
      <c r="G5" s="2" t="s">
        <v>770</v>
      </c>
      <c r="H5" s="7">
        <v>2</v>
      </c>
      <c r="I5" s="3">
        <v>3200</v>
      </c>
      <c r="J5" s="2" t="s">
        <v>717</v>
      </c>
      <c r="K5" s="3">
        <v>6400</v>
      </c>
      <c r="L5" s="2" t="s">
        <v>714</v>
      </c>
      <c r="M5" s="2" t="s">
        <v>60</v>
      </c>
      <c r="N5" s="2" t="s">
        <v>771</v>
      </c>
    </row>
    <row r="6" spans="1:14" ht="28.8" x14ac:dyDescent="0.3">
      <c r="A6" s="2" t="s">
        <v>831</v>
      </c>
      <c r="B6" s="2" t="s">
        <v>93</v>
      </c>
      <c r="C6" s="2" t="s">
        <v>94</v>
      </c>
      <c r="D6" s="2" t="s">
        <v>767</v>
      </c>
      <c r="E6" s="2" t="s">
        <v>782</v>
      </c>
      <c r="F6" s="2" t="s">
        <v>783</v>
      </c>
      <c r="G6" s="2" t="s">
        <v>770</v>
      </c>
      <c r="H6" s="7">
        <v>8</v>
      </c>
      <c r="I6" s="3">
        <v>900</v>
      </c>
      <c r="J6" s="2" t="s">
        <v>717</v>
      </c>
      <c r="K6" s="3">
        <v>7200</v>
      </c>
      <c r="L6" s="2" t="s">
        <v>714</v>
      </c>
      <c r="M6" s="2" t="s">
        <v>60</v>
      </c>
      <c r="N6" s="2" t="s">
        <v>771</v>
      </c>
    </row>
    <row r="7" spans="1:14" ht="28.8" x14ac:dyDescent="0.3">
      <c r="A7" s="2" t="s">
        <v>832</v>
      </c>
      <c r="B7" s="2" t="s">
        <v>93</v>
      </c>
      <c r="C7" s="2" t="s">
        <v>94</v>
      </c>
      <c r="D7" s="2" t="s">
        <v>785</v>
      </c>
      <c r="E7" s="2" t="s">
        <v>786</v>
      </c>
      <c r="F7" s="2" t="s">
        <v>787</v>
      </c>
      <c r="G7" s="2" t="s">
        <v>770</v>
      </c>
      <c r="H7" s="7">
        <v>8</v>
      </c>
      <c r="I7" s="3">
        <v>2300</v>
      </c>
      <c r="J7" s="2" t="s">
        <v>717</v>
      </c>
      <c r="K7" s="3">
        <v>18400</v>
      </c>
      <c r="L7" s="2" t="s">
        <v>714</v>
      </c>
      <c r="M7" s="2" t="s">
        <v>60</v>
      </c>
      <c r="N7" s="2" t="s">
        <v>771</v>
      </c>
    </row>
    <row r="8" spans="1:14" ht="28.8" x14ac:dyDescent="0.3">
      <c r="A8" s="2" t="s">
        <v>833</v>
      </c>
      <c r="B8" s="2" t="s">
        <v>93</v>
      </c>
      <c r="C8" s="2" t="s">
        <v>94</v>
      </c>
      <c r="D8" s="2" t="s">
        <v>785</v>
      </c>
      <c r="E8" s="2" t="s">
        <v>789</v>
      </c>
      <c r="F8" s="2" t="s">
        <v>790</v>
      </c>
      <c r="G8" s="2" t="s">
        <v>770</v>
      </c>
      <c r="H8" s="7">
        <v>4</v>
      </c>
      <c r="I8" s="3">
        <v>1600</v>
      </c>
      <c r="J8" s="2" t="s">
        <v>717</v>
      </c>
      <c r="K8" s="3">
        <v>6400</v>
      </c>
      <c r="L8" s="2" t="s">
        <v>714</v>
      </c>
      <c r="M8" s="2" t="s">
        <v>60</v>
      </c>
      <c r="N8" s="2" t="s">
        <v>771</v>
      </c>
    </row>
    <row r="9" spans="1:14" ht="28.8" x14ac:dyDescent="0.3">
      <c r="A9" s="2" t="s">
        <v>834</v>
      </c>
      <c r="B9" s="2" t="s">
        <v>93</v>
      </c>
      <c r="C9" s="2" t="s">
        <v>94</v>
      </c>
      <c r="D9" s="2" t="s">
        <v>767</v>
      </c>
      <c r="E9" s="2" t="s">
        <v>792</v>
      </c>
      <c r="F9" s="2" t="s">
        <v>793</v>
      </c>
      <c r="G9" s="2" t="s">
        <v>794</v>
      </c>
      <c r="H9" s="7">
        <v>1</v>
      </c>
      <c r="I9" s="3">
        <v>15800</v>
      </c>
      <c r="J9" s="2" t="s">
        <v>717</v>
      </c>
      <c r="K9" s="3">
        <v>15800</v>
      </c>
      <c r="L9" s="2" t="s">
        <v>714</v>
      </c>
      <c r="M9" s="2" t="s">
        <v>60</v>
      </c>
      <c r="N9" s="2" t="s">
        <v>771</v>
      </c>
    </row>
    <row r="10" spans="1:14" ht="57.6" x14ac:dyDescent="0.3">
      <c r="A10" s="2" t="s">
        <v>835</v>
      </c>
      <c r="B10" s="2" t="s">
        <v>93</v>
      </c>
      <c r="C10" s="2" t="s">
        <v>94</v>
      </c>
      <c r="D10" s="2" t="s">
        <v>796</v>
      </c>
      <c r="E10" s="2" t="s">
        <v>797</v>
      </c>
      <c r="F10" s="2" t="s">
        <v>798</v>
      </c>
      <c r="G10" s="2" t="s">
        <v>794</v>
      </c>
      <c r="H10" s="7">
        <v>1</v>
      </c>
      <c r="I10" s="3">
        <v>80200</v>
      </c>
      <c r="J10" s="2" t="s">
        <v>799</v>
      </c>
      <c r="K10" s="3">
        <v>80200</v>
      </c>
      <c r="L10" s="2" t="s">
        <v>714</v>
      </c>
      <c r="M10" s="2" t="s">
        <v>60</v>
      </c>
      <c r="N10" s="2" t="s">
        <v>771</v>
      </c>
    </row>
  </sheetData>
  <dataValidations count="5">
    <dataValidation type="list" sqref="C2:C100" xr:uid="{00000000-0002-0000-0B00-000000000000}">
      <formula1>"AP,BA,CE,DF,ES,MG,PA,PE,RN,RS,SE,RR,GO,AM"</formula1>
    </dataValidation>
    <dataValidation type="list" sqref="G2:G100" xr:uid="{00000000-0002-0000-0B00-000001000000}">
      <formula1>"un,lote"</formula1>
    </dataValidation>
    <dataValidation type="list" sqref="J2:J100" xr:uid="{00000000-0002-0000-0B00-000002000000}">
      <formula1>"Repasse,Contrapartida,Repasse/Contrapartida"</formula1>
    </dataValidation>
    <dataValidation type="list" sqref="L2:L100" xr:uid="{00000000-0002-0000-0B00-000003000000}">
      <formula1>"Capital,Custeio"</formula1>
    </dataValidation>
    <dataValidation type="list" sqref="M2:M100" xr:uid="{00000000-0002-0000-0B00-000004000000}">
      <formula1>"Sim,Não"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10"/>
  <sheetViews>
    <sheetView workbookViewId="0"/>
  </sheetViews>
  <sheetFormatPr defaultRowHeight="14.4" x14ac:dyDescent="0.3"/>
  <cols>
    <col min="1" max="1" width="18" customWidth="1"/>
    <col min="2" max="2" width="16" customWidth="1"/>
    <col min="3" max="3" width="8" customWidth="1"/>
    <col min="4" max="4" width="26" customWidth="1"/>
    <col min="5" max="5" width="34" customWidth="1"/>
    <col min="6" max="6" width="42" customWidth="1"/>
    <col min="7" max="8" width="12" customWidth="1"/>
    <col min="9" max="9" width="16" customWidth="1"/>
    <col min="10" max="10" width="20" customWidth="1"/>
    <col min="11" max="11" width="16" customWidth="1"/>
    <col min="12" max="12" width="14" customWidth="1"/>
    <col min="13" max="13" width="12" customWidth="1"/>
    <col min="14" max="14" width="42" customWidth="1"/>
  </cols>
  <sheetData>
    <row r="1" spans="1:14" x14ac:dyDescent="0.3">
      <c r="A1" s="6" t="s">
        <v>757</v>
      </c>
      <c r="B1" s="6" t="s">
        <v>0</v>
      </c>
      <c r="C1" s="6" t="s">
        <v>1</v>
      </c>
      <c r="D1" s="6" t="s">
        <v>758</v>
      </c>
      <c r="E1" s="6" t="s">
        <v>759</v>
      </c>
      <c r="F1" s="6" t="s">
        <v>760</v>
      </c>
      <c r="G1" s="6" t="s">
        <v>761</v>
      </c>
      <c r="H1" s="6" t="s">
        <v>762</v>
      </c>
      <c r="I1" s="6" t="s">
        <v>763</v>
      </c>
      <c r="J1" s="6" t="s">
        <v>716</v>
      </c>
      <c r="K1" s="6" t="s">
        <v>764</v>
      </c>
      <c r="L1" s="6" t="s">
        <v>713</v>
      </c>
      <c r="M1" s="6" t="s">
        <v>765</v>
      </c>
      <c r="N1" s="6" t="s">
        <v>201</v>
      </c>
    </row>
    <row r="2" spans="1:14" ht="28.8" x14ac:dyDescent="0.3">
      <c r="A2" s="2" t="s">
        <v>836</v>
      </c>
      <c r="B2" s="2" t="s">
        <v>103</v>
      </c>
      <c r="C2" s="2" t="s">
        <v>104</v>
      </c>
      <c r="D2" s="2" t="s">
        <v>767</v>
      </c>
      <c r="E2" s="2" t="s">
        <v>768</v>
      </c>
      <c r="F2" s="2" t="s">
        <v>769</v>
      </c>
      <c r="G2" s="2" t="s">
        <v>770</v>
      </c>
      <c r="H2" s="7">
        <v>7</v>
      </c>
      <c r="I2" s="3">
        <v>5800</v>
      </c>
      <c r="J2" s="2" t="s">
        <v>717</v>
      </c>
      <c r="K2" s="3">
        <v>40600</v>
      </c>
      <c r="L2" s="2" t="s">
        <v>714</v>
      </c>
      <c r="M2" s="2" t="s">
        <v>60</v>
      </c>
      <c r="N2" s="2" t="s">
        <v>771</v>
      </c>
    </row>
    <row r="3" spans="1:14" ht="28.8" x14ac:dyDescent="0.3">
      <c r="A3" s="2" t="s">
        <v>837</v>
      </c>
      <c r="B3" s="2" t="s">
        <v>103</v>
      </c>
      <c r="C3" s="2" t="s">
        <v>104</v>
      </c>
      <c r="D3" s="2" t="s">
        <v>767</v>
      </c>
      <c r="E3" s="2" t="s">
        <v>773</v>
      </c>
      <c r="F3" s="2" t="s">
        <v>774</v>
      </c>
      <c r="G3" s="2" t="s">
        <v>770</v>
      </c>
      <c r="H3" s="7">
        <v>5</v>
      </c>
      <c r="I3" s="3">
        <v>5200</v>
      </c>
      <c r="J3" s="2" t="s">
        <v>717</v>
      </c>
      <c r="K3" s="3">
        <v>26000</v>
      </c>
      <c r="L3" s="2" t="s">
        <v>714</v>
      </c>
      <c r="M3" s="2" t="s">
        <v>60</v>
      </c>
      <c r="N3" s="2" t="s">
        <v>771</v>
      </c>
    </row>
    <row r="4" spans="1:14" ht="28.8" x14ac:dyDescent="0.3">
      <c r="A4" s="2" t="s">
        <v>838</v>
      </c>
      <c r="B4" s="2" t="s">
        <v>103</v>
      </c>
      <c r="C4" s="2" t="s">
        <v>104</v>
      </c>
      <c r="D4" s="2" t="s">
        <v>767</v>
      </c>
      <c r="E4" s="2" t="s">
        <v>776</v>
      </c>
      <c r="F4" s="2" t="s">
        <v>777</v>
      </c>
      <c r="G4" s="2" t="s">
        <v>770</v>
      </c>
      <c r="H4" s="7">
        <v>2</v>
      </c>
      <c r="I4" s="3">
        <v>4500</v>
      </c>
      <c r="J4" s="2" t="s">
        <v>717</v>
      </c>
      <c r="K4" s="3">
        <v>9000</v>
      </c>
      <c r="L4" s="2" t="s">
        <v>714</v>
      </c>
      <c r="M4" s="2" t="s">
        <v>60</v>
      </c>
      <c r="N4" s="2" t="s">
        <v>771</v>
      </c>
    </row>
    <row r="5" spans="1:14" ht="28.8" x14ac:dyDescent="0.3">
      <c r="A5" s="2" t="s">
        <v>839</v>
      </c>
      <c r="B5" s="2" t="s">
        <v>103</v>
      </c>
      <c r="C5" s="2" t="s">
        <v>104</v>
      </c>
      <c r="D5" s="2" t="s">
        <v>767</v>
      </c>
      <c r="E5" s="2" t="s">
        <v>779</v>
      </c>
      <c r="F5" s="2" t="s">
        <v>780</v>
      </c>
      <c r="G5" s="2" t="s">
        <v>770</v>
      </c>
      <c r="H5" s="7">
        <v>2</v>
      </c>
      <c r="I5" s="3">
        <v>3200</v>
      </c>
      <c r="J5" s="2" t="s">
        <v>717</v>
      </c>
      <c r="K5" s="3">
        <v>6400</v>
      </c>
      <c r="L5" s="2" t="s">
        <v>714</v>
      </c>
      <c r="M5" s="2" t="s">
        <v>60</v>
      </c>
      <c r="N5" s="2" t="s">
        <v>771</v>
      </c>
    </row>
    <row r="6" spans="1:14" ht="28.8" x14ac:dyDescent="0.3">
      <c r="A6" s="2" t="s">
        <v>840</v>
      </c>
      <c r="B6" s="2" t="s">
        <v>103</v>
      </c>
      <c r="C6" s="2" t="s">
        <v>104</v>
      </c>
      <c r="D6" s="2" t="s">
        <v>767</v>
      </c>
      <c r="E6" s="2" t="s">
        <v>782</v>
      </c>
      <c r="F6" s="2" t="s">
        <v>783</v>
      </c>
      <c r="G6" s="2" t="s">
        <v>770</v>
      </c>
      <c r="H6" s="7">
        <v>8</v>
      </c>
      <c r="I6" s="3">
        <v>900</v>
      </c>
      <c r="J6" s="2" t="s">
        <v>717</v>
      </c>
      <c r="K6" s="3">
        <v>7200</v>
      </c>
      <c r="L6" s="2" t="s">
        <v>714</v>
      </c>
      <c r="M6" s="2" t="s">
        <v>60</v>
      </c>
      <c r="N6" s="2" t="s">
        <v>771</v>
      </c>
    </row>
    <row r="7" spans="1:14" ht="28.8" x14ac:dyDescent="0.3">
      <c r="A7" s="2" t="s">
        <v>841</v>
      </c>
      <c r="B7" s="2" t="s">
        <v>103</v>
      </c>
      <c r="C7" s="2" t="s">
        <v>104</v>
      </c>
      <c r="D7" s="2" t="s">
        <v>785</v>
      </c>
      <c r="E7" s="2" t="s">
        <v>786</v>
      </c>
      <c r="F7" s="2" t="s">
        <v>787</v>
      </c>
      <c r="G7" s="2" t="s">
        <v>770</v>
      </c>
      <c r="H7" s="7">
        <v>8</v>
      </c>
      <c r="I7" s="3">
        <v>2300</v>
      </c>
      <c r="J7" s="2" t="s">
        <v>717</v>
      </c>
      <c r="K7" s="3">
        <v>18400</v>
      </c>
      <c r="L7" s="2" t="s">
        <v>714</v>
      </c>
      <c r="M7" s="2" t="s">
        <v>60</v>
      </c>
      <c r="N7" s="2" t="s">
        <v>771</v>
      </c>
    </row>
    <row r="8" spans="1:14" ht="28.8" x14ac:dyDescent="0.3">
      <c r="A8" s="2" t="s">
        <v>842</v>
      </c>
      <c r="B8" s="2" t="s">
        <v>103</v>
      </c>
      <c r="C8" s="2" t="s">
        <v>104</v>
      </c>
      <c r="D8" s="2" t="s">
        <v>785</v>
      </c>
      <c r="E8" s="2" t="s">
        <v>789</v>
      </c>
      <c r="F8" s="2" t="s">
        <v>790</v>
      </c>
      <c r="G8" s="2" t="s">
        <v>770</v>
      </c>
      <c r="H8" s="7">
        <v>4</v>
      </c>
      <c r="I8" s="3">
        <v>1600</v>
      </c>
      <c r="J8" s="2" t="s">
        <v>717</v>
      </c>
      <c r="K8" s="3">
        <v>6400</v>
      </c>
      <c r="L8" s="2" t="s">
        <v>714</v>
      </c>
      <c r="M8" s="2" t="s">
        <v>60</v>
      </c>
      <c r="N8" s="2" t="s">
        <v>771</v>
      </c>
    </row>
    <row r="9" spans="1:14" ht="28.8" x14ac:dyDescent="0.3">
      <c r="A9" s="2" t="s">
        <v>843</v>
      </c>
      <c r="B9" s="2" t="s">
        <v>103</v>
      </c>
      <c r="C9" s="2" t="s">
        <v>104</v>
      </c>
      <c r="D9" s="2" t="s">
        <v>767</v>
      </c>
      <c r="E9" s="2" t="s">
        <v>792</v>
      </c>
      <c r="F9" s="2" t="s">
        <v>793</v>
      </c>
      <c r="G9" s="2" t="s">
        <v>794</v>
      </c>
      <c r="H9" s="7">
        <v>1</v>
      </c>
      <c r="I9" s="3">
        <v>15800</v>
      </c>
      <c r="J9" s="2" t="s">
        <v>717</v>
      </c>
      <c r="K9" s="3">
        <v>15800</v>
      </c>
      <c r="L9" s="2" t="s">
        <v>714</v>
      </c>
      <c r="M9" s="2" t="s">
        <v>60</v>
      </c>
      <c r="N9" s="2" t="s">
        <v>771</v>
      </c>
    </row>
    <row r="10" spans="1:14" ht="57.6" x14ac:dyDescent="0.3">
      <c r="A10" s="2" t="s">
        <v>844</v>
      </c>
      <c r="B10" s="2" t="s">
        <v>103</v>
      </c>
      <c r="C10" s="2" t="s">
        <v>104</v>
      </c>
      <c r="D10" s="2" t="s">
        <v>796</v>
      </c>
      <c r="E10" s="2" t="s">
        <v>797</v>
      </c>
      <c r="F10" s="2" t="s">
        <v>798</v>
      </c>
      <c r="G10" s="2" t="s">
        <v>794</v>
      </c>
      <c r="H10" s="7">
        <v>1</v>
      </c>
      <c r="I10" s="3">
        <v>100200</v>
      </c>
      <c r="J10" s="2" t="s">
        <v>799</v>
      </c>
      <c r="K10" s="3">
        <v>100200</v>
      </c>
      <c r="L10" s="2" t="s">
        <v>714</v>
      </c>
      <c r="M10" s="2" t="s">
        <v>60</v>
      </c>
      <c r="N10" s="2" t="s">
        <v>771</v>
      </c>
    </row>
  </sheetData>
  <dataValidations count="5">
    <dataValidation type="list" sqref="C2:C100" xr:uid="{00000000-0002-0000-0C00-000000000000}">
      <formula1>"AP,BA,CE,DF,ES,MG,PA,PE,RN,RS,SE,RR,GO,AM"</formula1>
    </dataValidation>
    <dataValidation type="list" sqref="G2:G100" xr:uid="{00000000-0002-0000-0C00-000001000000}">
      <formula1>"un,lote"</formula1>
    </dataValidation>
    <dataValidation type="list" sqref="J2:J100" xr:uid="{00000000-0002-0000-0C00-000002000000}">
      <formula1>"Repasse,Contrapartida,Repasse/Contrapartida"</formula1>
    </dataValidation>
    <dataValidation type="list" sqref="L2:L100" xr:uid="{00000000-0002-0000-0C00-000003000000}">
      <formula1>"Capital,Custeio"</formula1>
    </dataValidation>
    <dataValidation type="list" sqref="M2:M100" xr:uid="{00000000-0002-0000-0C00-000004000000}">
      <formula1>"Sim,Não"</formula1>
    </dataValidation>
  </dataValidation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10"/>
  <sheetViews>
    <sheetView workbookViewId="0"/>
  </sheetViews>
  <sheetFormatPr defaultRowHeight="14.4" x14ac:dyDescent="0.3"/>
  <cols>
    <col min="1" max="1" width="18" customWidth="1"/>
    <col min="2" max="2" width="16" customWidth="1"/>
    <col min="3" max="3" width="8" customWidth="1"/>
    <col min="4" max="4" width="26" customWidth="1"/>
    <col min="5" max="5" width="34" customWidth="1"/>
    <col min="6" max="6" width="42" customWidth="1"/>
    <col min="7" max="8" width="12" customWidth="1"/>
    <col min="9" max="9" width="16" customWidth="1"/>
    <col min="10" max="10" width="20" customWidth="1"/>
    <col min="11" max="11" width="16" customWidth="1"/>
    <col min="12" max="12" width="14" customWidth="1"/>
    <col min="13" max="13" width="12" customWidth="1"/>
    <col min="14" max="14" width="42" customWidth="1"/>
  </cols>
  <sheetData>
    <row r="1" spans="1:14" x14ac:dyDescent="0.3">
      <c r="A1" s="6" t="s">
        <v>757</v>
      </c>
      <c r="B1" s="6" t="s">
        <v>0</v>
      </c>
      <c r="C1" s="6" t="s">
        <v>1</v>
      </c>
      <c r="D1" s="6" t="s">
        <v>758</v>
      </c>
      <c r="E1" s="6" t="s">
        <v>759</v>
      </c>
      <c r="F1" s="6" t="s">
        <v>760</v>
      </c>
      <c r="G1" s="6" t="s">
        <v>761</v>
      </c>
      <c r="H1" s="6" t="s">
        <v>762</v>
      </c>
      <c r="I1" s="6" t="s">
        <v>763</v>
      </c>
      <c r="J1" s="6" t="s">
        <v>716</v>
      </c>
      <c r="K1" s="6" t="s">
        <v>764</v>
      </c>
      <c r="L1" s="6" t="s">
        <v>713</v>
      </c>
      <c r="M1" s="6" t="s">
        <v>765</v>
      </c>
      <c r="N1" s="6" t="s">
        <v>201</v>
      </c>
    </row>
    <row r="2" spans="1:14" ht="28.8" x14ac:dyDescent="0.3">
      <c r="A2" s="2" t="s">
        <v>845</v>
      </c>
      <c r="B2" s="2" t="s">
        <v>113</v>
      </c>
      <c r="C2" s="2" t="s">
        <v>114</v>
      </c>
      <c r="D2" s="2" t="s">
        <v>767</v>
      </c>
      <c r="E2" s="2" t="s">
        <v>768</v>
      </c>
      <c r="F2" s="2" t="s">
        <v>769</v>
      </c>
      <c r="G2" s="2" t="s">
        <v>770</v>
      </c>
      <c r="H2" s="7">
        <v>7</v>
      </c>
      <c r="I2" s="3">
        <v>5800</v>
      </c>
      <c r="J2" s="2" t="s">
        <v>717</v>
      </c>
      <c r="K2" s="3">
        <v>40600</v>
      </c>
      <c r="L2" s="2" t="s">
        <v>714</v>
      </c>
      <c r="M2" s="2" t="s">
        <v>60</v>
      </c>
      <c r="N2" s="2" t="s">
        <v>771</v>
      </c>
    </row>
    <row r="3" spans="1:14" ht="28.8" x14ac:dyDescent="0.3">
      <c r="A3" s="2" t="s">
        <v>846</v>
      </c>
      <c r="B3" s="2" t="s">
        <v>113</v>
      </c>
      <c r="C3" s="2" t="s">
        <v>114</v>
      </c>
      <c r="D3" s="2" t="s">
        <v>767</v>
      </c>
      <c r="E3" s="2" t="s">
        <v>773</v>
      </c>
      <c r="F3" s="2" t="s">
        <v>774</v>
      </c>
      <c r="G3" s="2" t="s">
        <v>770</v>
      </c>
      <c r="H3" s="7">
        <v>5</v>
      </c>
      <c r="I3" s="3">
        <v>5200</v>
      </c>
      <c r="J3" s="2" t="s">
        <v>717</v>
      </c>
      <c r="K3" s="3">
        <v>26000</v>
      </c>
      <c r="L3" s="2" t="s">
        <v>714</v>
      </c>
      <c r="M3" s="2" t="s">
        <v>60</v>
      </c>
      <c r="N3" s="2" t="s">
        <v>771</v>
      </c>
    </row>
    <row r="4" spans="1:14" ht="28.8" x14ac:dyDescent="0.3">
      <c r="A4" s="2" t="s">
        <v>847</v>
      </c>
      <c r="B4" s="2" t="s">
        <v>113</v>
      </c>
      <c r="C4" s="2" t="s">
        <v>114</v>
      </c>
      <c r="D4" s="2" t="s">
        <v>767</v>
      </c>
      <c r="E4" s="2" t="s">
        <v>776</v>
      </c>
      <c r="F4" s="2" t="s">
        <v>777</v>
      </c>
      <c r="G4" s="2" t="s">
        <v>770</v>
      </c>
      <c r="H4" s="7">
        <v>2</v>
      </c>
      <c r="I4" s="3">
        <v>4500</v>
      </c>
      <c r="J4" s="2" t="s">
        <v>717</v>
      </c>
      <c r="K4" s="3">
        <v>9000</v>
      </c>
      <c r="L4" s="2" t="s">
        <v>714</v>
      </c>
      <c r="M4" s="2" t="s">
        <v>60</v>
      </c>
      <c r="N4" s="2" t="s">
        <v>771</v>
      </c>
    </row>
    <row r="5" spans="1:14" ht="28.8" x14ac:dyDescent="0.3">
      <c r="A5" s="2" t="s">
        <v>848</v>
      </c>
      <c r="B5" s="2" t="s">
        <v>113</v>
      </c>
      <c r="C5" s="2" t="s">
        <v>114</v>
      </c>
      <c r="D5" s="2" t="s">
        <v>767</v>
      </c>
      <c r="E5" s="2" t="s">
        <v>779</v>
      </c>
      <c r="F5" s="2" t="s">
        <v>780</v>
      </c>
      <c r="G5" s="2" t="s">
        <v>770</v>
      </c>
      <c r="H5" s="7">
        <v>2</v>
      </c>
      <c r="I5" s="3">
        <v>3200</v>
      </c>
      <c r="J5" s="2" t="s">
        <v>717</v>
      </c>
      <c r="K5" s="3">
        <v>6400</v>
      </c>
      <c r="L5" s="2" t="s">
        <v>714</v>
      </c>
      <c r="M5" s="2" t="s">
        <v>60</v>
      </c>
      <c r="N5" s="2" t="s">
        <v>771</v>
      </c>
    </row>
    <row r="6" spans="1:14" ht="28.8" x14ac:dyDescent="0.3">
      <c r="A6" s="2" t="s">
        <v>849</v>
      </c>
      <c r="B6" s="2" t="s">
        <v>113</v>
      </c>
      <c r="C6" s="2" t="s">
        <v>114</v>
      </c>
      <c r="D6" s="2" t="s">
        <v>767</v>
      </c>
      <c r="E6" s="2" t="s">
        <v>782</v>
      </c>
      <c r="F6" s="2" t="s">
        <v>783</v>
      </c>
      <c r="G6" s="2" t="s">
        <v>770</v>
      </c>
      <c r="H6" s="7">
        <v>8</v>
      </c>
      <c r="I6" s="3">
        <v>900</v>
      </c>
      <c r="J6" s="2" t="s">
        <v>717</v>
      </c>
      <c r="K6" s="3">
        <v>7200</v>
      </c>
      <c r="L6" s="2" t="s">
        <v>714</v>
      </c>
      <c r="M6" s="2" t="s">
        <v>60</v>
      </c>
      <c r="N6" s="2" t="s">
        <v>771</v>
      </c>
    </row>
    <row r="7" spans="1:14" ht="28.8" x14ac:dyDescent="0.3">
      <c r="A7" s="2" t="s">
        <v>850</v>
      </c>
      <c r="B7" s="2" t="s">
        <v>113</v>
      </c>
      <c r="C7" s="2" t="s">
        <v>114</v>
      </c>
      <c r="D7" s="2" t="s">
        <v>785</v>
      </c>
      <c r="E7" s="2" t="s">
        <v>786</v>
      </c>
      <c r="F7" s="2" t="s">
        <v>787</v>
      </c>
      <c r="G7" s="2" t="s">
        <v>770</v>
      </c>
      <c r="H7" s="7">
        <v>8</v>
      </c>
      <c r="I7" s="3">
        <v>2300</v>
      </c>
      <c r="J7" s="2" t="s">
        <v>717</v>
      </c>
      <c r="K7" s="3">
        <v>18400</v>
      </c>
      <c r="L7" s="2" t="s">
        <v>714</v>
      </c>
      <c r="M7" s="2" t="s">
        <v>60</v>
      </c>
      <c r="N7" s="2" t="s">
        <v>771</v>
      </c>
    </row>
    <row r="8" spans="1:14" ht="28.8" x14ac:dyDescent="0.3">
      <c r="A8" s="2" t="s">
        <v>851</v>
      </c>
      <c r="B8" s="2" t="s">
        <v>113</v>
      </c>
      <c r="C8" s="2" t="s">
        <v>114</v>
      </c>
      <c r="D8" s="2" t="s">
        <v>785</v>
      </c>
      <c r="E8" s="2" t="s">
        <v>789</v>
      </c>
      <c r="F8" s="2" t="s">
        <v>790</v>
      </c>
      <c r="G8" s="2" t="s">
        <v>770</v>
      </c>
      <c r="H8" s="7">
        <v>4</v>
      </c>
      <c r="I8" s="3">
        <v>1600</v>
      </c>
      <c r="J8" s="2" t="s">
        <v>717</v>
      </c>
      <c r="K8" s="3">
        <v>6400</v>
      </c>
      <c r="L8" s="2" t="s">
        <v>714</v>
      </c>
      <c r="M8" s="2" t="s">
        <v>60</v>
      </c>
      <c r="N8" s="2" t="s">
        <v>771</v>
      </c>
    </row>
    <row r="9" spans="1:14" ht="28.8" x14ac:dyDescent="0.3">
      <c r="A9" s="2" t="s">
        <v>852</v>
      </c>
      <c r="B9" s="2" t="s">
        <v>113</v>
      </c>
      <c r="C9" s="2" t="s">
        <v>114</v>
      </c>
      <c r="D9" s="2" t="s">
        <v>767</v>
      </c>
      <c r="E9" s="2" t="s">
        <v>792</v>
      </c>
      <c r="F9" s="2" t="s">
        <v>793</v>
      </c>
      <c r="G9" s="2" t="s">
        <v>794</v>
      </c>
      <c r="H9" s="7">
        <v>1</v>
      </c>
      <c r="I9" s="3">
        <v>15800</v>
      </c>
      <c r="J9" s="2" t="s">
        <v>717</v>
      </c>
      <c r="K9" s="3">
        <v>15800</v>
      </c>
      <c r="L9" s="2" t="s">
        <v>714</v>
      </c>
      <c r="M9" s="2" t="s">
        <v>60</v>
      </c>
      <c r="N9" s="2" t="s">
        <v>771</v>
      </c>
    </row>
    <row r="10" spans="1:14" ht="57.6" x14ac:dyDescent="0.3">
      <c r="A10" s="2" t="s">
        <v>853</v>
      </c>
      <c r="B10" s="2" t="s">
        <v>113</v>
      </c>
      <c r="C10" s="2" t="s">
        <v>114</v>
      </c>
      <c r="D10" s="2" t="s">
        <v>796</v>
      </c>
      <c r="E10" s="2" t="s">
        <v>797</v>
      </c>
      <c r="F10" s="2" t="s">
        <v>798</v>
      </c>
      <c r="G10" s="2" t="s">
        <v>794</v>
      </c>
      <c r="H10" s="7">
        <v>1</v>
      </c>
      <c r="I10" s="3">
        <v>78200</v>
      </c>
      <c r="J10" s="2" t="s">
        <v>799</v>
      </c>
      <c r="K10" s="3">
        <v>78200</v>
      </c>
      <c r="L10" s="2" t="s">
        <v>714</v>
      </c>
      <c r="M10" s="2" t="s">
        <v>60</v>
      </c>
      <c r="N10" s="2" t="s">
        <v>771</v>
      </c>
    </row>
  </sheetData>
  <dataValidations count="5">
    <dataValidation type="list" sqref="C2:C100" xr:uid="{00000000-0002-0000-0D00-000000000000}">
      <formula1>"AP,BA,CE,DF,ES,MG,PA,PE,RN,RS,SE,RR,GO,AM"</formula1>
    </dataValidation>
    <dataValidation type="list" sqref="G2:G100" xr:uid="{00000000-0002-0000-0D00-000001000000}">
      <formula1>"un,lote"</formula1>
    </dataValidation>
    <dataValidation type="list" sqref="J2:J100" xr:uid="{00000000-0002-0000-0D00-000002000000}">
      <formula1>"Repasse,Contrapartida,Repasse/Contrapartida"</formula1>
    </dataValidation>
    <dataValidation type="list" sqref="L2:L100" xr:uid="{00000000-0002-0000-0D00-000003000000}">
      <formula1>"Capital,Custeio"</formula1>
    </dataValidation>
    <dataValidation type="list" sqref="M2:M100" xr:uid="{00000000-0002-0000-0D00-000004000000}">
      <formula1>"Sim,Não"</formula1>
    </dataValidation>
  </dataValidation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10"/>
  <sheetViews>
    <sheetView workbookViewId="0"/>
  </sheetViews>
  <sheetFormatPr defaultRowHeight="14.4" x14ac:dyDescent="0.3"/>
  <cols>
    <col min="1" max="1" width="18" customWidth="1"/>
    <col min="2" max="2" width="16" customWidth="1"/>
    <col min="3" max="3" width="8" customWidth="1"/>
    <col min="4" max="4" width="26" customWidth="1"/>
    <col min="5" max="5" width="34" customWidth="1"/>
    <col min="6" max="6" width="42" customWidth="1"/>
    <col min="7" max="8" width="12" customWidth="1"/>
    <col min="9" max="9" width="16" customWidth="1"/>
    <col min="10" max="10" width="20" customWidth="1"/>
    <col min="11" max="11" width="16" customWidth="1"/>
    <col min="12" max="12" width="14" customWidth="1"/>
    <col min="13" max="13" width="12" customWidth="1"/>
    <col min="14" max="14" width="42" customWidth="1"/>
  </cols>
  <sheetData>
    <row r="1" spans="1:14" x14ac:dyDescent="0.3">
      <c r="A1" s="6" t="s">
        <v>757</v>
      </c>
      <c r="B1" s="6" t="s">
        <v>0</v>
      </c>
      <c r="C1" s="6" t="s">
        <v>1</v>
      </c>
      <c r="D1" s="6" t="s">
        <v>758</v>
      </c>
      <c r="E1" s="6" t="s">
        <v>759</v>
      </c>
      <c r="F1" s="6" t="s">
        <v>760</v>
      </c>
      <c r="G1" s="6" t="s">
        <v>761</v>
      </c>
      <c r="H1" s="6" t="s">
        <v>762</v>
      </c>
      <c r="I1" s="6" t="s">
        <v>763</v>
      </c>
      <c r="J1" s="6" t="s">
        <v>716</v>
      </c>
      <c r="K1" s="6" t="s">
        <v>764</v>
      </c>
      <c r="L1" s="6" t="s">
        <v>713</v>
      </c>
      <c r="M1" s="6" t="s">
        <v>765</v>
      </c>
      <c r="N1" s="6" t="s">
        <v>201</v>
      </c>
    </row>
    <row r="2" spans="1:14" ht="28.8" x14ac:dyDescent="0.3">
      <c r="A2" s="2" t="s">
        <v>854</v>
      </c>
      <c r="B2" s="2" t="s">
        <v>123</v>
      </c>
      <c r="C2" s="2" t="s">
        <v>124</v>
      </c>
      <c r="D2" s="2" t="s">
        <v>767</v>
      </c>
      <c r="E2" s="2" t="s">
        <v>768</v>
      </c>
      <c r="F2" s="2" t="s">
        <v>769</v>
      </c>
      <c r="G2" s="2" t="s">
        <v>770</v>
      </c>
      <c r="H2" s="7">
        <v>7</v>
      </c>
      <c r="I2" s="3">
        <v>5800</v>
      </c>
      <c r="J2" s="2" t="s">
        <v>717</v>
      </c>
      <c r="K2" s="3">
        <v>40600</v>
      </c>
      <c r="L2" s="2" t="s">
        <v>714</v>
      </c>
      <c r="M2" s="2" t="s">
        <v>60</v>
      </c>
      <c r="N2" s="2" t="s">
        <v>771</v>
      </c>
    </row>
    <row r="3" spans="1:14" ht="28.8" x14ac:dyDescent="0.3">
      <c r="A3" s="2" t="s">
        <v>855</v>
      </c>
      <c r="B3" s="2" t="s">
        <v>123</v>
      </c>
      <c r="C3" s="2" t="s">
        <v>124</v>
      </c>
      <c r="D3" s="2" t="s">
        <v>767</v>
      </c>
      <c r="E3" s="2" t="s">
        <v>773</v>
      </c>
      <c r="F3" s="2" t="s">
        <v>774</v>
      </c>
      <c r="G3" s="2" t="s">
        <v>770</v>
      </c>
      <c r="H3" s="7">
        <v>5</v>
      </c>
      <c r="I3" s="3">
        <v>5200</v>
      </c>
      <c r="J3" s="2" t="s">
        <v>717</v>
      </c>
      <c r="K3" s="3">
        <v>26000</v>
      </c>
      <c r="L3" s="2" t="s">
        <v>714</v>
      </c>
      <c r="M3" s="2" t="s">
        <v>60</v>
      </c>
      <c r="N3" s="2" t="s">
        <v>771</v>
      </c>
    </row>
    <row r="4" spans="1:14" ht="28.8" x14ac:dyDescent="0.3">
      <c r="A4" s="2" t="s">
        <v>856</v>
      </c>
      <c r="B4" s="2" t="s">
        <v>123</v>
      </c>
      <c r="C4" s="2" t="s">
        <v>124</v>
      </c>
      <c r="D4" s="2" t="s">
        <v>767</v>
      </c>
      <c r="E4" s="2" t="s">
        <v>776</v>
      </c>
      <c r="F4" s="2" t="s">
        <v>777</v>
      </c>
      <c r="G4" s="2" t="s">
        <v>770</v>
      </c>
      <c r="H4" s="7">
        <v>2</v>
      </c>
      <c r="I4" s="3">
        <v>4500</v>
      </c>
      <c r="J4" s="2" t="s">
        <v>717</v>
      </c>
      <c r="K4" s="3">
        <v>9000</v>
      </c>
      <c r="L4" s="2" t="s">
        <v>714</v>
      </c>
      <c r="M4" s="2" t="s">
        <v>60</v>
      </c>
      <c r="N4" s="2" t="s">
        <v>771</v>
      </c>
    </row>
    <row r="5" spans="1:14" ht="28.8" x14ac:dyDescent="0.3">
      <c r="A5" s="2" t="s">
        <v>857</v>
      </c>
      <c r="B5" s="2" t="s">
        <v>123</v>
      </c>
      <c r="C5" s="2" t="s">
        <v>124</v>
      </c>
      <c r="D5" s="2" t="s">
        <v>767</v>
      </c>
      <c r="E5" s="2" t="s">
        <v>779</v>
      </c>
      <c r="F5" s="2" t="s">
        <v>780</v>
      </c>
      <c r="G5" s="2" t="s">
        <v>770</v>
      </c>
      <c r="H5" s="7">
        <v>2</v>
      </c>
      <c r="I5" s="3">
        <v>3200</v>
      </c>
      <c r="J5" s="2" t="s">
        <v>717</v>
      </c>
      <c r="K5" s="3">
        <v>6400</v>
      </c>
      <c r="L5" s="2" t="s">
        <v>714</v>
      </c>
      <c r="M5" s="2" t="s">
        <v>60</v>
      </c>
      <c r="N5" s="2" t="s">
        <v>771</v>
      </c>
    </row>
    <row r="6" spans="1:14" ht="28.8" x14ac:dyDescent="0.3">
      <c r="A6" s="2" t="s">
        <v>858</v>
      </c>
      <c r="B6" s="2" t="s">
        <v>123</v>
      </c>
      <c r="C6" s="2" t="s">
        <v>124</v>
      </c>
      <c r="D6" s="2" t="s">
        <v>767</v>
      </c>
      <c r="E6" s="2" t="s">
        <v>782</v>
      </c>
      <c r="F6" s="2" t="s">
        <v>783</v>
      </c>
      <c r="G6" s="2" t="s">
        <v>770</v>
      </c>
      <c r="H6" s="7">
        <v>8</v>
      </c>
      <c r="I6" s="3">
        <v>900</v>
      </c>
      <c r="J6" s="2" t="s">
        <v>717</v>
      </c>
      <c r="K6" s="3">
        <v>7200</v>
      </c>
      <c r="L6" s="2" t="s">
        <v>714</v>
      </c>
      <c r="M6" s="2" t="s">
        <v>60</v>
      </c>
      <c r="N6" s="2" t="s">
        <v>771</v>
      </c>
    </row>
    <row r="7" spans="1:14" ht="28.8" x14ac:dyDescent="0.3">
      <c r="A7" s="2" t="s">
        <v>859</v>
      </c>
      <c r="B7" s="2" t="s">
        <v>123</v>
      </c>
      <c r="C7" s="2" t="s">
        <v>124</v>
      </c>
      <c r="D7" s="2" t="s">
        <v>785</v>
      </c>
      <c r="E7" s="2" t="s">
        <v>786</v>
      </c>
      <c r="F7" s="2" t="s">
        <v>787</v>
      </c>
      <c r="G7" s="2" t="s">
        <v>770</v>
      </c>
      <c r="H7" s="7">
        <v>8</v>
      </c>
      <c r="I7" s="3">
        <v>2300</v>
      </c>
      <c r="J7" s="2" t="s">
        <v>717</v>
      </c>
      <c r="K7" s="3">
        <v>18400</v>
      </c>
      <c r="L7" s="2" t="s">
        <v>714</v>
      </c>
      <c r="M7" s="2" t="s">
        <v>60</v>
      </c>
      <c r="N7" s="2" t="s">
        <v>771</v>
      </c>
    </row>
    <row r="8" spans="1:14" ht="28.8" x14ac:dyDescent="0.3">
      <c r="A8" s="2" t="s">
        <v>860</v>
      </c>
      <c r="B8" s="2" t="s">
        <v>123</v>
      </c>
      <c r="C8" s="2" t="s">
        <v>124</v>
      </c>
      <c r="D8" s="2" t="s">
        <v>785</v>
      </c>
      <c r="E8" s="2" t="s">
        <v>789</v>
      </c>
      <c r="F8" s="2" t="s">
        <v>790</v>
      </c>
      <c r="G8" s="2" t="s">
        <v>770</v>
      </c>
      <c r="H8" s="7">
        <v>4</v>
      </c>
      <c r="I8" s="3">
        <v>1600</v>
      </c>
      <c r="J8" s="2" t="s">
        <v>717</v>
      </c>
      <c r="K8" s="3">
        <v>6400</v>
      </c>
      <c r="L8" s="2" t="s">
        <v>714</v>
      </c>
      <c r="M8" s="2" t="s">
        <v>60</v>
      </c>
      <c r="N8" s="2" t="s">
        <v>771</v>
      </c>
    </row>
    <row r="9" spans="1:14" ht="28.8" x14ac:dyDescent="0.3">
      <c r="A9" s="2" t="s">
        <v>861</v>
      </c>
      <c r="B9" s="2" t="s">
        <v>123</v>
      </c>
      <c r="C9" s="2" t="s">
        <v>124</v>
      </c>
      <c r="D9" s="2" t="s">
        <v>767</v>
      </c>
      <c r="E9" s="2" t="s">
        <v>792</v>
      </c>
      <c r="F9" s="2" t="s">
        <v>793</v>
      </c>
      <c r="G9" s="2" t="s">
        <v>794</v>
      </c>
      <c r="H9" s="7">
        <v>1</v>
      </c>
      <c r="I9" s="3">
        <v>15800</v>
      </c>
      <c r="J9" s="2" t="s">
        <v>717</v>
      </c>
      <c r="K9" s="3">
        <v>15800</v>
      </c>
      <c r="L9" s="2" t="s">
        <v>714</v>
      </c>
      <c r="M9" s="2" t="s">
        <v>60</v>
      </c>
      <c r="N9" s="2" t="s">
        <v>771</v>
      </c>
    </row>
    <row r="10" spans="1:14" ht="57.6" x14ac:dyDescent="0.3">
      <c r="A10" s="2" t="s">
        <v>862</v>
      </c>
      <c r="B10" s="2" t="s">
        <v>123</v>
      </c>
      <c r="C10" s="2" t="s">
        <v>124</v>
      </c>
      <c r="D10" s="2" t="s">
        <v>796</v>
      </c>
      <c r="E10" s="2" t="s">
        <v>797</v>
      </c>
      <c r="F10" s="2" t="s">
        <v>798</v>
      </c>
      <c r="G10" s="2" t="s">
        <v>794</v>
      </c>
      <c r="H10" s="7">
        <v>1</v>
      </c>
      <c r="I10" s="3">
        <v>84200</v>
      </c>
      <c r="J10" s="2" t="s">
        <v>799</v>
      </c>
      <c r="K10" s="3">
        <v>84200</v>
      </c>
      <c r="L10" s="2" t="s">
        <v>714</v>
      </c>
      <c r="M10" s="2" t="s">
        <v>60</v>
      </c>
      <c r="N10" s="2" t="s">
        <v>771</v>
      </c>
    </row>
  </sheetData>
  <dataValidations count="5">
    <dataValidation type="list" sqref="C2:C100" xr:uid="{00000000-0002-0000-0E00-000000000000}">
      <formula1>"AP,BA,CE,DF,ES,MG,PA,PE,RN,RS,SE,RR,GO,AM"</formula1>
    </dataValidation>
    <dataValidation type="list" sqref="G2:G100" xr:uid="{00000000-0002-0000-0E00-000001000000}">
      <formula1>"un,lote"</formula1>
    </dataValidation>
    <dataValidation type="list" sqref="J2:J100" xr:uid="{00000000-0002-0000-0E00-000002000000}">
      <formula1>"Repasse,Contrapartida,Repasse/Contrapartida"</formula1>
    </dataValidation>
    <dataValidation type="list" sqref="L2:L100" xr:uid="{00000000-0002-0000-0E00-000003000000}">
      <formula1>"Capital,Custeio"</formula1>
    </dataValidation>
    <dataValidation type="list" sqref="M2:M100" xr:uid="{00000000-0002-0000-0E00-000004000000}">
      <formula1>"Sim,Não"</formula1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10"/>
  <sheetViews>
    <sheetView workbookViewId="0"/>
  </sheetViews>
  <sheetFormatPr defaultRowHeight="14.4" x14ac:dyDescent="0.3"/>
  <cols>
    <col min="1" max="1" width="18" customWidth="1"/>
    <col min="2" max="2" width="16" customWidth="1"/>
    <col min="3" max="3" width="8" customWidth="1"/>
    <col min="4" max="4" width="26" customWidth="1"/>
    <col min="5" max="5" width="34" customWidth="1"/>
    <col min="6" max="6" width="42" customWidth="1"/>
    <col min="7" max="8" width="12" customWidth="1"/>
    <col min="9" max="9" width="16" customWidth="1"/>
    <col min="10" max="10" width="20" customWidth="1"/>
    <col min="11" max="11" width="16" customWidth="1"/>
    <col min="12" max="12" width="14" customWidth="1"/>
    <col min="13" max="13" width="12" customWidth="1"/>
    <col min="14" max="14" width="42" customWidth="1"/>
  </cols>
  <sheetData>
    <row r="1" spans="1:14" x14ac:dyDescent="0.3">
      <c r="A1" s="6" t="s">
        <v>757</v>
      </c>
      <c r="B1" s="6" t="s">
        <v>0</v>
      </c>
      <c r="C1" s="6" t="s">
        <v>1</v>
      </c>
      <c r="D1" s="6" t="s">
        <v>758</v>
      </c>
      <c r="E1" s="6" t="s">
        <v>759</v>
      </c>
      <c r="F1" s="6" t="s">
        <v>760</v>
      </c>
      <c r="G1" s="6" t="s">
        <v>761</v>
      </c>
      <c r="H1" s="6" t="s">
        <v>762</v>
      </c>
      <c r="I1" s="6" t="s">
        <v>763</v>
      </c>
      <c r="J1" s="6" t="s">
        <v>716</v>
      </c>
      <c r="K1" s="6" t="s">
        <v>764</v>
      </c>
      <c r="L1" s="6" t="s">
        <v>713</v>
      </c>
      <c r="M1" s="6" t="s">
        <v>765</v>
      </c>
      <c r="N1" s="6" t="s">
        <v>201</v>
      </c>
    </row>
    <row r="2" spans="1:14" ht="28.8" x14ac:dyDescent="0.3">
      <c r="A2" s="2" t="s">
        <v>863</v>
      </c>
      <c r="B2" s="2" t="s">
        <v>132</v>
      </c>
      <c r="C2" s="2" t="s">
        <v>133</v>
      </c>
      <c r="D2" s="2" t="s">
        <v>767</v>
      </c>
      <c r="E2" s="2" t="s">
        <v>768</v>
      </c>
      <c r="F2" s="2" t="s">
        <v>769</v>
      </c>
      <c r="G2" s="2" t="s">
        <v>770</v>
      </c>
      <c r="H2" s="7">
        <v>7</v>
      </c>
      <c r="I2" s="3">
        <v>5800</v>
      </c>
      <c r="J2" s="2" t="s">
        <v>717</v>
      </c>
      <c r="K2" s="3">
        <v>40600</v>
      </c>
      <c r="L2" s="2" t="s">
        <v>714</v>
      </c>
      <c r="M2" s="2" t="s">
        <v>60</v>
      </c>
      <c r="N2" s="2" t="s">
        <v>771</v>
      </c>
    </row>
    <row r="3" spans="1:14" ht="28.8" x14ac:dyDescent="0.3">
      <c r="A3" s="2" t="s">
        <v>864</v>
      </c>
      <c r="B3" s="2" t="s">
        <v>132</v>
      </c>
      <c r="C3" s="2" t="s">
        <v>133</v>
      </c>
      <c r="D3" s="2" t="s">
        <v>767</v>
      </c>
      <c r="E3" s="2" t="s">
        <v>773</v>
      </c>
      <c r="F3" s="2" t="s">
        <v>774</v>
      </c>
      <c r="G3" s="2" t="s">
        <v>770</v>
      </c>
      <c r="H3" s="7">
        <v>5</v>
      </c>
      <c r="I3" s="3">
        <v>5200</v>
      </c>
      <c r="J3" s="2" t="s">
        <v>717</v>
      </c>
      <c r="K3" s="3">
        <v>26000</v>
      </c>
      <c r="L3" s="2" t="s">
        <v>714</v>
      </c>
      <c r="M3" s="2" t="s">
        <v>60</v>
      </c>
      <c r="N3" s="2" t="s">
        <v>771</v>
      </c>
    </row>
    <row r="4" spans="1:14" ht="28.8" x14ac:dyDescent="0.3">
      <c r="A4" s="2" t="s">
        <v>865</v>
      </c>
      <c r="B4" s="2" t="s">
        <v>132</v>
      </c>
      <c r="C4" s="2" t="s">
        <v>133</v>
      </c>
      <c r="D4" s="2" t="s">
        <v>767</v>
      </c>
      <c r="E4" s="2" t="s">
        <v>776</v>
      </c>
      <c r="F4" s="2" t="s">
        <v>777</v>
      </c>
      <c r="G4" s="2" t="s">
        <v>770</v>
      </c>
      <c r="H4" s="7">
        <v>2</v>
      </c>
      <c r="I4" s="3">
        <v>4500</v>
      </c>
      <c r="J4" s="2" t="s">
        <v>717</v>
      </c>
      <c r="K4" s="3">
        <v>9000</v>
      </c>
      <c r="L4" s="2" t="s">
        <v>714</v>
      </c>
      <c r="M4" s="2" t="s">
        <v>60</v>
      </c>
      <c r="N4" s="2" t="s">
        <v>771</v>
      </c>
    </row>
    <row r="5" spans="1:14" ht="28.8" x14ac:dyDescent="0.3">
      <c r="A5" s="2" t="s">
        <v>866</v>
      </c>
      <c r="B5" s="2" t="s">
        <v>132</v>
      </c>
      <c r="C5" s="2" t="s">
        <v>133</v>
      </c>
      <c r="D5" s="2" t="s">
        <v>767</v>
      </c>
      <c r="E5" s="2" t="s">
        <v>779</v>
      </c>
      <c r="F5" s="2" t="s">
        <v>780</v>
      </c>
      <c r="G5" s="2" t="s">
        <v>770</v>
      </c>
      <c r="H5" s="7">
        <v>2</v>
      </c>
      <c r="I5" s="3">
        <v>3200</v>
      </c>
      <c r="J5" s="2" t="s">
        <v>717</v>
      </c>
      <c r="K5" s="3">
        <v>6400</v>
      </c>
      <c r="L5" s="2" t="s">
        <v>714</v>
      </c>
      <c r="M5" s="2" t="s">
        <v>60</v>
      </c>
      <c r="N5" s="2" t="s">
        <v>771</v>
      </c>
    </row>
    <row r="6" spans="1:14" ht="28.8" x14ac:dyDescent="0.3">
      <c r="A6" s="2" t="s">
        <v>867</v>
      </c>
      <c r="B6" s="2" t="s">
        <v>132</v>
      </c>
      <c r="C6" s="2" t="s">
        <v>133</v>
      </c>
      <c r="D6" s="2" t="s">
        <v>767</v>
      </c>
      <c r="E6" s="2" t="s">
        <v>782</v>
      </c>
      <c r="F6" s="2" t="s">
        <v>783</v>
      </c>
      <c r="G6" s="2" t="s">
        <v>770</v>
      </c>
      <c r="H6" s="7">
        <v>8</v>
      </c>
      <c r="I6" s="3">
        <v>900</v>
      </c>
      <c r="J6" s="2" t="s">
        <v>717</v>
      </c>
      <c r="K6" s="3">
        <v>7200</v>
      </c>
      <c r="L6" s="2" t="s">
        <v>714</v>
      </c>
      <c r="M6" s="2" t="s">
        <v>60</v>
      </c>
      <c r="N6" s="2" t="s">
        <v>771</v>
      </c>
    </row>
    <row r="7" spans="1:14" ht="28.8" x14ac:dyDescent="0.3">
      <c r="A7" s="2" t="s">
        <v>868</v>
      </c>
      <c r="B7" s="2" t="s">
        <v>132</v>
      </c>
      <c r="C7" s="2" t="s">
        <v>133</v>
      </c>
      <c r="D7" s="2" t="s">
        <v>785</v>
      </c>
      <c r="E7" s="2" t="s">
        <v>786</v>
      </c>
      <c r="F7" s="2" t="s">
        <v>787</v>
      </c>
      <c r="G7" s="2" t="s">
        <v>770</v>
      </c>
      <c r="H7" s="7">
        <v>8</v>
      </c>
      <c r="I7" s="3">
        <v>2300</v>
      </c>
      <c r="J7" s="2" t="s">
        <v>717</v>
      </c>
      <c r="K7" s="3">
        <v>18400</v>
      </c>
      <c r="L7" s="2" t="s">
        <v>714</v>
      </c>
      <c r="M7" s="2" t="s">
        <v>60</v>
      </c>
      <c r="N7" s="2" t="s">
        <v>771</v>
      </c>
    </row>
    <row r="8" spans="1:14" ht="28.8" x14ac:dyDescent="0.3">
      <c r="A8" s="2" t="s">
        <v>869</v>
      </c>
      <c r="B8" s="2" t="s">
        <v>132</v>
      </c>
      <c r="C8" s="2" t="s">
        <v>133</v>
      </c>
      <c r="D8" s="2" t="s">
        <v>785</v>
      </c>
      <c r="E8" s="2" t="s">
        <v>789</v>
      </c>
      <c r="F8" s="2" t="s">
        <v>790</v>
      </c>
      <c r="G8" s="2" t="s">
        <v>770</v>
      </c>
      <c r="H8" s="7">
        <v>4</v>
      </c>
      <c r="I8" s="3">
        <v>1600</v>
      </c>
      <c r="J8" s="2" t="s">
        <v>717</v>
      </c>
      <c r="K8" s="3">
        <v>6400</v>
      </c>
      <c r="L8" s="2" t="s">
        <v>714</v>
      </c>
      <c r="M8" s="2" t="s">
        <v>60</v>
      </c>
      <c r="N8" s="2" t="s">
        <v>771</v>
      </c>
    </row>
    <row r="9" spans="1:14" ht="28.8" x14ac:dyDescent="0.3">
      <c r="A9" s="2" t="s">
        <v>870</v>
      </c>
      <c r="B9" s="2" t="s">
        <v>132</v>
      </c>
      <c r="C9" s="2" t="s">
        <v>133</v>
      </c>
      <c r="D9" s="2" t="s">
        <v>767</v>
      </c>
      <c r="E9" s="2" t="s">
        <v>792</v>
      </c>
      <c r="F9" s="2" t="s">
        <v>793</v>
      </c>
      <c r="G9" s="2" t="s">
        <v>794</v>
      </c>
      <c r="H9" s="7">
        <v>1</v>
      </c>
      <c r="I9" s="3">
        <v>15800</v>
      </c>
      <c r="J9" s="2" t="s">
        <v>717</v>
      </c>
      <c r="K9" s="3">
        <v>15800</v>
      </c>
      <c r="L9" s="2" t="s">
        <v>714</v>
      </c>
      <c r="M9" s="2" t="s">
        <v>60</v>
      </c>
      <c r="N9" s="2" t="s">
        <v>771</v>
      </c>
    </row>
    <row r="10" spans="1:14" ht="57.6" x14ac:dyDescent="0.3">
      <c r="A10" s="2" t="s">
        <v>871</v>
      </c>
      <c r="B10" s="2" t="s">
        <v>132</v>
      </c>
      <c r="C10" s="2" t="s">
        <v>133</v>
      </c>
      <c r="D10" s="2" t="s">
        <v>796</v>
      </c>
      <c r="E10" s="2" t="s">
        <v>797</v>
      </c>
      <c r="F10" s="2" t="s">
        <v>798</v>
      </c>
      <c r="G10" s="2" t="s">
        <v>794</v>
      </c>
      <c r="H10" s="7">
        <v>1</v>
      </c>
      <c r="I10" s="3">
        <v>79200</v>
      </c>
      <c r="J10" s="2" t="s">
        <v>799</v>
      </c>
      <c r="K10" s="3">
        <v>79200</v>
      </c>
      <c r="L10" s="2" t="s">
        <v>714</v>
      </c>
      <c r="M10" s="2" t="s">
        <v>60</v>
      </c>
      <c r="N10" s="2" t="s">
        <v>771</v>
      </c>
    </row>
  </sheetData>
  <dataValidations count="5">
    <dataValidation type="list" sqref="C2:C100" xr:uid="{00000000-0002-0000-0F00-000000000000}">
      <formula1>"AP,BA,CE,DF,ES,MG,PA,PE,RN,RS,SE,RR,GO,AM"</formula1>
    </dataValidation>
    <dataValidation type="list" sqref="G2:G100" xr:uid="{00000000-0002-0000-0F00-000001000000}">
      <formula1>"un,lote"</formula1>
    </dataValidation>
    <dataValidation type="list" sqref="J2:J100" xr:uid="{00000000-0002-0000-0F00-000002000000}">
      <formula1>"Repasse,Contrapartida,Repasse/Contrapartida"</formula1>
    </dataValidation>
    <dataValidation type="list" sqref="L2:L100" xr:uid="{00000000-0002-0000-0F00-000003000000}">
      <formula1>"Capital,Custeio"</formula1>
    </dataValidation>
    <dataValidation type="list" sqref="M2:M100" xr:uid="{00000000-0002-0000-0F00-000004000000}">
      <formula1>"Sim,Não"</formula1>
    </dataValidation>
  </dataValidation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10"/>
  <sheetViews>
    <sheetView workbookViewId="0"/>
  </sheetViews>
  <sheetFormatPr defaultRowHeight="14.4" x14ac:dyDescent="0.3"/>
  <cols>
    <col min="1" max="1" width="18" customWidth="1"/>
    <col min="2" max="2" width="16" customWidth="1"/>
    <col min="3" max="3" width="8" customWidth="1"/>
    <col min="4" max="4" width="26" customWidth="1"/>
    <col min="5" max="5" width="34" customWidth="1"/>
    <col min="6" max="6" width="42" customWidth="1"/>
    <col min="7" max="8" width="12" customWidth="1"/>
    <col min="9" max="9" width="16" customWidth="1"/>
    <col min="10" max="10" width="20" customWidth="1"/>
    <col min="11" max="11" width="16" customWidth="1"/>
    <col min="12" max="12" width="14" customWidth="1"/>
    <col min="13" max="13" width="12" customWidth="1"/>
    <col min="14" max="14" width="42" customWidth="1"/>
  </cols>
  <sheetData>
    <row r="1" spans="1:14" x14ac:dyDescent="0.3">
      <c r="A1" s="6" t="s">
        <v>757</v>
      </c>
      <c r="B1" s="6" t="s">
        <v>0</v>
      </c>
      <c r="C1" s="6" t="s">
        <v>1</v>
      </c>
      <c r="D1" s="6" t="s">
        <v>758</v>
      </c>
      <c r="E1" s="6" t="s">
        <v>759</v>
      </c>
      <c r="F1" s="6" t="s">
        <v>760</v>
      </c>
      <c r="G1" s="6" t="s">
        <v>761</v>
      </c>
      <c r="H1" s="6" t="s">
        <v>762</v>
      </c>
      <c r="I1" s="6" t="s">
        <v>763</v>
      </c>
      <c r="J1" s="6" t="s">
        <v>716</v>
      </c>
      <c r="K1" s="6" t="s">
        <v>764</v>
      </c>
      <c r="L1" s="6" t="s">
        <v>713</v>
      </c>
      <c r="M1" s="6" t="s">
        <v>765</v>
      </c>
      <c r="N1" s="6" t="s">
        <v>201</v>
      </c>
    </row>
    <row r="2" spans="1:14" ht="28.8" x14ac:dyDescent="0.3">
      <c r="A2" s="2" t="s">
        <v>872</v>
      </c>
      <c r="B2" s="2" t="s">
        <v>142</v>
      </c>
      <c r="C2" s="2" t="s">
        <v>143</v>
      </c>
      <c r="D2" s="2" t="s">
        <v>767</v>
      </c>
      <c r="E2" s="2" t="s">
        <v>768</v>
      </c>
      <c r="F2" s="2" t="s">
        <v>769</v>
      </c>
      <c r="G2" s="2" t="s">
        <v>770</v>
      </c>
      <c r="H2" s="7">
        <v>7</v>
      </c>
      <c r="I2" s="3">
        <v>5800</v>
      </c>
      <c r="J2" s="2" t="s">
        <v>717</v>
      </c>
      <c r="K2" s="3">
        <v>40600</v>
      </c>
      <c r="L2" s="2" t="s">
        <v>714</v>
      </c>
      <c r="M2" s="2" t="s">
        <v>60</v>
      </c>
      <c r="N2" s="2" t="s">
        <v>771</v>
      </c>
    </row>
    <row r="3" spans="1:14" ht="28.8" x14ac:dyDescent="0.3">
      <c r="A3" s="2" t="s">
        <v>873</v>
      </c>
      <c r="B3" s="2" t="s">
        <v>142</v>
      </c>
      <c r="C3" s="2" t="s">
        <v>143</v>
      </c>
      <c r="D3" s="2" t="s">
        <v>767</v>
      </c>
      <c r="E3" s="2" t="s">
        <v>773</v>
      </c>
      <c r="F3" s="2" t="s">
        <v>774</v>
      </c>
      <c r="G3" s="2" t="s">
        <v>770</v>
      </c>
      <c r="H3" s="7">
        <v>5</v>
      </c>
      <c r="I3" s="3">
        <v>5200</v>
      </c>
      <c r="J3" s="2" t="s">
        <v>717</v>
      </c>
      <c r="K3" s="3">
        <v>26000</v>
      </c>
      <c r="L3" s="2" t="s">
        <v>714</v>
      </c>
      <c r="M3" s="2" t="s">
        <v>60</v>
      </c>
      <c r="N3" s="2" t="s">
        <v>771</v>
      </c>
    </row>
    <row r="4" spans="1:14" ht="28.8" x14ac:dyDescent="0.3">
      <c r="A4" s="2" t="s">
        <v>874</v>
      </c>
      <c r="B4" s="2" t="s">
        <v>142</v>
      </c>
      <c r="C4" s="2" t="s">
        <v>143</v>
      </c>
      <c r="D4" s="2" t="s">
        <v>767</v>
      </c>
      <c r="E4" s="2" t="s">
        <v>776</v>
      </c>
      <c r="F4" s="2" t="s">
        <v>777</v>
      </c>
      <c r="G4" s="2" t="s">
        <v>770</v>
      </c>
      <c r="H4" s="7">
        <v>2</v>
      </c>
      <c r="I4" s="3">
        <v>4500</v>
      </c>
      <c r="J4" s="2" t="s">
        <v>717</v>
      </c>
      <c r="K4" s="3">
        <v>9000</v>
      </c>
      <c r="L4" s="2" t="s">
        <v>714</v>
      </c>
      <c r="M4" s="2" t="s">
        <v>60</v>
      </c>
      <c r="N4" s="2" t="s">
        <v>771</v>
      </c>
    </row>
    <row r="5" spans="1:14" ht="28.8" x14ac:dyDescent="0.3">
      <c r="A5" s="2" t="s">
        <v>875</v>
      </c>
      <c r="B5" s="2" t="s">
        <v>142</v>
      </c>
      <c r="C5" s="2" t="s">
        <v>143</v>
      </c>
      <c r="D5" s="2" t="s">
        <v>767</v>
      </c>
      <c r="E5" s="2" t="s">
        <v>779</v>
      </c>
      <c r="F5" s="2" t="s">
        <v>780</v>
      </c>
      <c r="G5" s="2" t="s">
        <v>770</v>
      </c>
      <c r="H5" s="7">
        <v>2</v>
      </c>
      <c r="I5" s="3">
        <v>3200</v>
      </c>
      <c r="J5" s="2" t="s">
        <v>717</v>
      </c>
      <c r="K5" s="3">
        <v>6400</v>
      </c>
      <c r="L5" s="2" t="s">
        <v>714</v>
      </c>
      <c r="M5" s="2" t="s">
        <v>60</v>
      </c>
      <c r="N5" s="2" t="s">
        <v>771</v>
      </c>
    </row>
    <row r="6" spans="1:14" ht="28.8" x14ac:dyDescent="0.3">
      <c r="A6" s="2" t="s">
        <v>876</v>
      </c>
      <c r="B6" s="2" t="s">
        <v>142</v>
      </c>
      <c r="C6" s="2" t="s">
        <v>143</v>
      </c>
      <c r="D6" s="2" t="s">
        <v>767</v>
      </c>
      <c r="E6" s="2" t="s">
        <v>782</v>
      </c>
      <c r="F6" s="2" t="s">
        <v>783</v>
      </c>
      <c r="G6" s="2" t="s">
        <v>770</v>
      </c>
      <c r="H6" s="7">
        <v>8</v>
      </c>
      <c r="I6" s="3">
        <v>900</v>
      </c>
      <c r="J6" s="2" t="s">
        <v>717</v>
      </c>
      <c r="K6" s="3">
        <v>7200</v>
      </c>
      <c r="L6" s="2" t="s">
        <v>714</v>
      </c>
      <c r="M6" s="2" t="s">
        <v>60</v>
      </c>
      <c r="N6" s="2" t="s">
        <v>771</v>
      </c>
    </row>
    <row r="7" spans="1:14" ht="28.8" x14ac:dyDescent="0.3">
      <c r="A7" s="2" t="s">
        <v>877</v>
      </c>
      <c r="B7" s="2" t="s">
        <v>142</v>
      </c>
      <c r="C7" s="2" t="s">
        <v>143</v>
      </c>
      <c r="D7" s="2" t="s">
        <v>785</v>
      </c>
      <c r="E7" s="2" t="s">
        <v>786</v>
      </c>
      <c r="F7" s="2" t="s">
        <v>787</v>
      </c>
      <c r="G7" s="2" t="s">
        <v>770</v>
      </c>
      <c r="H7" s="7">
        <v>8</v>
      </c>
      <c r="I7" s="3">
        <v>2300</v>
      </c>
      <c r="J7" s="2" t="s">
        <v>717</v>
      </c>
      <c r="K7" s="3">
        <v>18400</v>
      </c>
      <c r="L7" s="2" t="s">
        <v>714</v>
      </c>
      <c r="M7" s="2" t="s">
        <v>60</v>
      </c>
      <c r="N7" s="2" t="s">
        <v>771</v>
      </c>
    </row>
    <row r="8" spans="1:14" ht="28.8" x14ac:dyDescent="0.3">
      <c r="A8" s="2" t="s">
        <v>878</v>
      </c>
      <c r="B8" s="2" t="s">
        <v>142</v>
      </c>
      <c r="C8" s="2" t="s">
        <v>143</v>
      </c>
      <c r="D8" s="2" t="s">
        <v>785</v>
      </c>
      <c r="E8" s="2" t="s">
        <v>789</v>
      </c>
      <c r="F8" s="2" t="s">
        <v>790</v>
      </c>
      <c r="G8" s="2" t="s">
        <v>770</v>
      </c>
      <c r="H8" s="7">
        <v>4</v>
      </c>
      <c r="I8" s="3">
        <v>1600</v>
      </c>
      <c r="J8" s="2" t="s">
        <v>717</v>
      </c>
      <c r="K8" s="3">
        <v>6400</v>
      </c>
      <c r="L8" s="2" t="s">
        <v>714</v>
      </c>
      <c r="M8" s="2" t="s">
        <v>60</v>
      </c>
      <c r="N8" s="2" t="s">
        <v>771</v>
      </c>
    </row>
    <row r="9" spans="1:14" ht="28.8" x14ac:dyDescent="0.3">
      <c r="A9" s="2" t="s">
        <v>879</v>
      </c>
      <c r="B9" s="2" t="s">
        <v>142</v>
      </c>
      <c r="C9" s="2" t="s">
        <v>143</v>
      </c>
      <c r="D9" s="2" t="s">
        <v>767</v>
      </c>
      <c r="E9" s="2" t="s">
        <v>792</v>
      </c>
      <c r="F9" s="2" t="s">
        <v>793</v>
      </c>
      <c r="G9" s="2" t="s">
        <v>794</v>
      </c>
      <c r="H9" s="7">
        <v>1</v>
      </c>
      <c r="I9" s="3">
        <v>15800</v>
      </c>
      <c r="J9" s="2" t="s">
        <v>717</v>
      </c>
      <c r="K9" s="3">
        <v>15800</v>
      </c>
      <c r="L9" s="2" t="s">
        <v>714</v>
      </c>
      <c r="M9" s="2" t="s">
        <v>60</v>
      </c>
      <c r="N9" s="2" t="s">
        <v>771</v>
      </c>
    </row>
    <row r="10" spans="1:14" ht="57.6" x14ac:dyDescent="0.3">
      <c r="A10" s="2" t="s">
        <v>880</v>
      </c>
      <c r="B10" s="2" t="s">
        <v>142</v>
      </c>
      <c r="C10" s="2" t="s">
        <v>143</v>
      </c>
      <c r="D10" s="2" t="s">
        <v>796</v>
      </c>
      <c r="E10" s="2" t="s">
        <v>797</v>
      </c>
      <c r="F10" s="2" t="s">
        <v>798</v>
      </c>
      <c r="G10" s="2" t="s">
        <v>794</v>
      </c>
      <c r="H10" s="7">
        <v>1</v>
      </c>
      <c r="I10" s="3">
        <v>88200</v>
      </c>
      <c r="J10" s="2" t="s">
        <v>799</v>
      </c>
      <c r="K10" s="3">
        <v>88200</v>
      </c>
      <c r="L10" s="2" t="s">
        <v>714</v>
      </c>
      <c r="M10" s="2" t="s">
        <v>60</v>
      </c>
      <c r="N10" s="2" t="s">
        <v>771</v>
      </c>
    </row>
  </sheetData>
  <dataValidations count="5">
    <dataValidation type="list" sqref="C2:C100" xr:uid="{00000000-0002-0000-1000-000000000000}">
      <formula1>"AP,BA,CE,DF,ES,MG,PA,PE,RN,RS,SE,RR,GO,AM"</formula1>
    </dataValidation>
    <dataValidation type="list" sqref="G2:G100" xr:uid="{00000000-0002-0000-1000-000001000000}">
      <formula1>"un,lote"</formula1>
    </dataValidation>
    <dataValidation type="list" sqref="J2:J100" xr:uid="{00000000-0002-0000-1000-000002000000}">
      <formula1>"Repasse,Contrapartida,Repasse/Contrapartida"</formula1>
    </dataValidation>
    <dataValidation type="list" sqref="L2:L100" xr:uid="{00000000-0002-0000-1000-000003000000}">
      <formula1>"Capital,Custeio"</formula1>
    </dataValidation>
    <dataValidation type="list" sqref="M2:M100" xr:uid="{00000000-0002-0000-1000-000004000000}">
      <formula1>"Sim,Não"</formula1>
    </dataValidation>
  </dataValidation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10"/>
  <sheetViews>
    <sheetView workbookViewId="0"/>
  </sheetViews>
  <sheetFormatPr defaultRowHeight="14.4" x14ac:dyDescent="0.3"/>
  <cols>
    <col min="1" max="1" width="18" customWidth="1"/>
    <col min="2" max="2" width="16" customWidth="1"/>
    <col min="3" max="3" width="8" customWidth="1"/>
    <col min="4" max="4" width="26" customWidth="1"/>
    <col min="5" max="5" width="34" customWidth="1"/>
    <col min="6" max="6" width="42" customWidth="1"/>
    <col min="7" max="8" width="12" customWidth="1"/>
    <col min="9" max="9" width="16" customWidth="1"/>
    <col min="10" max="10" width="20" customWidth="1"/>
    <col min="11" max="11" width="16" customWidth="1"/>
    <col min="12" max="12" width="14" customWidth="1"/>
    <col min="13" max="13" width="12" customWidth="1"/>
    <col min="14" max="14" width="42" customWidth="1"/>
  </cols>
  <sheetData>
    <row r="1" spans="1:14" x14ac:dyDescent="0.3">
      <c r="A1" s="6" t="s">
        <v>757</v>
      </c>
      <c r="B1" s="6" t="s">
        <v>0</v>
      </c>
      <c r="C1" s="6" t="s">
        <v>1</v>
      </c>
      <c r="D1" s="6" t="s">
        <v>758</v>
      </c>
      <c r="E1" s="6" t="s">
        <v>759</v>
      </c>
      <c r="F1" s="6" t="s">
        <v>760</v>
      </c>
      <c r="G1" s="6" t="s">
        <v>761</v>
      </c>
      <c r="H1" s="6" t="s">
        <v>762</v>
      </c>
      <c r="I1" s="6" t="s">
        <v>763</v>
      </c>
      <c r="J1" s="6" t="s">
        <v>716</v>
      </c>
      <c r="K1" s="6" t="s">
        <v>764</v>
      </c>
      <c r="L1" s="6" t="s">
        <v>713</v>
      </c>
      <c r="M1" s="6" t="s">
        <v>765</v>
      </c>
      <c r="N1" s="6" t="s">
        <v>201</v>
      </c>
    </row>
    <row r="2" spans="1:14" ht="28.8" x14ac:dyDescent="0.3">
      <c r="A2" s="2" t="s">
        <v>881</v>
      </c>
      <c r="B2" s="2" t="s">
        <v>152</v>
      </c>
      <c r="C2" s="2" t="s">
        <v>153</v>
      </c>
      <c r="D2" s="2" t="s">
        <v>767</v>
      </c>
      <c r="E2" s="2" t="s">
        <v>768</v>
      </c>
      <c r="F2" s="2" t="s">
        <v>769</v>
      </c>
      <c r="G2" s="2" t="s">
        <v>770</v>
      </c>
      <c r="H2" s="7">
        <v>7</v>
      </c>
      <c r="I2" s="3">
        <v>5800</v>
      </c>
      <c r="J2" s="2" t="s">
        <v>717</v>
      </c>
      <c r="K2" s="3">
        <v>40600</v>
      </c>
      <c r="L2" s="2" t="s">
        <v>714</v>
      </c>
      <c r="M2" s="2" t="s">
        <v>60</v>
      </c>
      <c r="N2" s="2" t="s">
        <v>771</v>
      </c>
    </row>
    <row r="3" spans="1:14" ht="28.8" x14ac:dyDescent="0.3">
      <c r="A3" s="2" t="s">
        <v>882</v>
      </c>
      <c r="B3" s="2" t="s">
        <v>152</v>
      </c>
      <c r="C3" s="2" t="s">
        <v>153</v>
      </c>
      <c r="D3" s="2" t="s">
        <v>767</v>
      </c>
      <c r="E3" s="2" t="s">
        <v>773</v>
      </c>
      <c r="F3" s="2" t="s">
        <v>774</v>
      </c>
      <c r="G3" s="2" t="s">
        <v>770</v>
      </c>
      <c r="H3" s="7">
        <v>5</v>
      </c>
      <c r="I3" s="3">
        <v>5200</v>
      </c>
      <c r="J3" s="2" t="s">
        <v>717</v>
      </c>
      <c r="K3" s="3">
        <v>26000</v>
      </c>
      <c r="L3" s="2" t="s">
        <v>714</v>
      </c>
      <c r="M3" s="2" t="s">
        <v>60</v>
      </c>
      <c r="N3" s="2" t="s">
        <v>771</v>
      </c>
    </row>
    <row r="4" spans="1:14" ht="28.8" x14ac:dyDescent="0.3">
      <c r="A4" s="2" t="s">
        <v>883</v>
      </c>
      <c r="B4" s="2" t="s">
        <v>152</v>
      </c>
      <c r="C4" s="2" t="s">
        <v>153</v>
      </c>
      <c r="D4" s="2" t="s">
        <v>767</v>
      </c>
      <c r="E4" s="2" t="s">
        <v>776</v>
      </c>
      <c r="F4" s="2" t="s">
        <v>777</v>
      </c>
      <c r="G4" s="2" t="s">
        <v>770</v>
      </c>
      <c r="H4" s="7">
        <v>2</v>
      </c>
      <c r="I4" s="3">
        <v>4500</v>
      </c>
      <c r="J4" s="2" t="s">
        <v>717</v>
      </c>
      <c r="K4" s="3">
        <v>9000</v>
      </c>
      <c r="L4" s="2" t="s">
        <v>714</v>
      </c>
      <c r="M4" s="2" t="s">
        <v>60</v>
      </c>
      <c r="N4" s="2" t="s">
        <v>771</v>
      </c>
    </row>
    <row r="5" spans="1:14" ht="28.8" x14ac:dyDescent="0.3">
      <c r="A5" s="2" t="s">
        <v>884</v>
      </c>
      <c r="B5" s="2" t="s">
        <v>152</v>
      </c>
      <c r="C5" s="2" t="s">
        <v>153</v>
      </c>
      <c r="D5" s="2" t="s">
        <v>767</v>
      </c>
      <c r="E5" s="2" t="s">
        <v>779</v>
      </c>
      <c r="F5" s="2" t="s">
        <v>780</v>
      </c>
      <c r="G5" s="2" t="s">
        <v>770</v>
      </c>
      <c r="H5" s="7">
        <v>2</v>
      </c>
      <c r="I5" s="3">
        <v>3200</v>
      </c>
      <c r="J5" s="2" t="s">
        <v>717</v>
      </c>
      <c r="K5" s="3">
        <v>6400</v>
      </c>
      <c r="L5" s="2" t="s">
        <v>714</v>
      </c>
      <c r="M5" s="2" t="s">
        <v>60</v>
      </c>
      <c r="N5" s="2" t="s">
        <v>771</v>
      </c>
    </row>
    <row r="6" spans="1:14" ht="28.8" x14ac:dyDescent="0.3">
      <c r="A6" s="2" t="s">
        <v>885</v>
      </c>
      <c r="B6" s="2" t="s">
        <v>152</v>
      </c>
      <c r="C6" s="2" t="s">
        <v>153</v>
      </c>
      <c r="D6" s="2" t="s">
        <v>767</v>
      </c>
      <c r="E6" s="2" t="s">
        <v>782</v>
      </c>
      <c r="F6" s="2" t="s">
        <v>783</v>
      </c>
      <c r="G6" s="2" t="s">
        <v>770</v>
      </c>
      <c r="H6" s="7">
        <v>8</v>
      </c>
      <c r="I6" s="3">
        <v>900</v>
      </c>
      <c r="J6" s="2" t="s">
        <v>717</v>
      </c>
      <c r="K6" s="3">
        <v>7200</v>
      </c>
      <c r="L6" s="2" t="s">
        <v>714</v>
      </c>
      <c r="M6" s="2" t="s">
        <v>60</v>
      </c>
      <c r="N6" s="2" t="s">
        <v>771</v>
      </c>
    </row>
    <row r="7" spans="1:14" ht="28.8" x14ac:dyDescent="0.3">
      <c r="A7" s="2" t="s">
        <v>886</v>
      </c>
      <c r="B7" s="2" t="s">
        <v>152</v>
      </c>
      <c r="C7" s="2" t="s">
        <v>153</v>
      </c>
      <c r="D7" s="2" t="s">
        <v>785</v>
      </c>
      <c r="E7" s="2" t="s">
        <v>786</v>
      </c>
      <c r="F7" s="2" t="s">
        <v>787</v>
      </c>
      <c r="G7" s="2" t="s">
        <v>770</v>
      </c>
      <c r="H7" s="7">
        <v>8</v>
      </c>
      <c r="I7" s="3">
        <v>2300</v>
      </c>
      <c r="J7" s="2" t="s">
        <v>717</v>
      </c>
      <c r="K7" s="3">
        <v>18400</v>
      </c>
      <c r="L7" s="2" t="s">
        <v>714</v>
      </c>
      <c r="M7" s="2" t="s">
        <v>60</v>
      </c>
      <c r="N7" s="2" t="s">
        <v>771</v>
      </c>
    </row>
    <row r="8" spans="1:14" ht="28.8" x14ac:dyDescent="0.3">
      <c r="A8" s="2" t="s">
        <v>887</v>
      </c>
      <c r="B8" s="2" t="s">
        <v>152</v>
      </c>
      <c r="C8" s="2" t="s">
        <v>153</v>
      </c>
      <c r="D8" s="2" t="s">
        <v>785</v>
      </c>
      <c r="E8" s="2" t="s">
        <v>789</v>
      </c>
      <c r="F8" s="2" t="s">
        <v>790</v>
      </c>
      <c r="G8" s="2" t="s">
        <v>770</v>
      </c>
      <c r="H8" s="7">
        <v>4</v>
      </c>
      <c r="I8" s="3">
        <v>1600</v>
      </c>
      <c r="J8" s="2" t="s">
        <v>717</v>
      </c>
      <c r="K8" s="3">
        <v>6400</v>
      </c>
      <c r="L8" s="2" t="s">
        <v>714</v>
      </c>
      <c r="M8" s="2" t="s">
        <v>60</v>
      </c>
      <c r="N8" s="2" t="s">
        <v>771</v>
      </c>
    </row>
    <row r="9" spans="1:14" ht="28.8" x14ac:dyDescent="0.3">
      <c r="A9" s="2" t="s">
        <v>888</v>
      </c>
      <c r="B9" s="2" t="s">
        <v>152</v>
      </c>
      <c r="C9" s="2" t="s">
        <v>153</v>
      </c>
      <c r="D9" s="2" t="s">
        <v>767</v>
      </c>
      <c r="E9" s="2" t="s">
        <v>792</v>
      </c>
      <c r="F9" s="2" t="s">
        <v>793</v>
      </c>
      <c r="G9" s="2" t="s">
        <v>794</v>
      </c>
      <c r="H9" s="7">
        <v>1</v>
      </c>
      <c r="I9" s="3">
        <v>15800</v>
      </c>
      <c r="J9" s="2" t="s">
        <v>717</v>
      </c>
      <c r="K9" s="3">
        <v>15800</v>
      </c>
      <c r="L9" s="2" t="s">
        <v>714</v>
      </c>
      <c r="M9" s="2" t="s">
        <v>60</v>
      </c>
      <c r="N9" s="2" t="s">
        <v>771</v>
      </c>
    </row>
    <row r="10" spans="1:14" ht="57.6" x14ac:dyDescent="0.3">
      <c r="A10" s="2" t="s">
        <v>889</v>
      </c>
      <c r="B10" s="2" t="s">
        <v>152</v>
      </c>
      <c r="C10" s="2" t="s">
        <v>153</v>
      </c>
      <c r="D10" s="2" t="s">
        <v>796</v>
      </c>
      <c r="E10" s="2" t="s">
        <v>797</v>
      </c>
      <c r="F10" s="2" t="s">
        <v>798</v>
      </c>
      <c r="G10" s="2" t="s">
        <v>794</v>
      </c>
      <c r="H10" s="7">
        <v>1</v>
      </c>
      <c r="I10" s="3">
        <v>77200</v>
      </c>
      <c r="J10" s="2" t="s">
        <v>799</v>
      </c>
      <c r="K10" s="3">
        <v>77200</v>
      </c>
      <c r="L10" s="2" t="s">
        <v>714</v>
      </c>
      <c r="M10" s="2" t="s">
        <v>60</v>
      </c>
      <c r="N10" s="2" t="s">
        <v>771</v>
      </c>
    </row>
  </sheetData>
  <dataValidations count="5">
    <dataValidation type="list" sqref="C2:C100" xr:uid="{00000000-0002-0000-1100-000000000000}">
      <formula1>"AP,BA,CE,DF,ES,MG,PA,PE,RN,RS,SE,RR,GO,AM"</formula1>
    </dataValidation>
    <dataValidation type="list" sqref="G2:G100" xr:uid="{00000000-0002-0000-1100-000001000000}">
      <formula1>"un,lote"</formula1>
    </dataValidation>
    <dataValidation type="list" sqref="J2:J100" xr:uid="{00000000-0002-0000-1100-000002000000}">
      <formula1>"Repasse,Contrapartida,Repasse/Contrapartida"</formula1>
    </dataValidation>
    <dataValidation type="list" sqref="L2:L100" xr:uid="{00000000-0002-0000-1100-000003000000}">
      <formula1>"Capital,Custeio"</formula1>
    </dataValidation>
    <dataValidation type="list" sqref="M2:M100" xr:uid="{00000000-0002-0000-1100-000004000000}">
      <formula1>"Sim,Não"</formula1>
    </dataValidation>
  </dataValidation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10"/>
  <sheetViews>
    <sheetView workbookViewId="0"/>
  </sheetViews>
  <sheetFormatPr defaultRowHeight="14.4" x14ac:dyDescent="0.3"/>
  <cols>
    <col min="1" max="1" width="18" customWidth="1"/>
    <col min="2" max="2" width="16" customWidth="1"/>
    <col min="3" max="3" width="8" customWidth="1"/>
    <col min="4" max="4" width="26" customWidth="1"/>
    <col min="5" max="5" width="34" customWidth="1"/>
    <col min="6" max="6" width="42" customWidth="1"/>
    <col min="7" max="8" width="12" customWidth="1"/>
    <col min="9" max="9" width="16" customWidth="1"/>
    <col min="10" max="10" width="20" customWidth="1"/>
    <col min="11" max="11" width="16" customWidth="1"/>
    <col min="12" max="12" width="14" customWidth="1"/>
    <col min="13" max="13" width="12" customWidth="1"/>
    <col min="14" max="14" width="42" customWidth="1"/>
  </cols>
  <sheetData>
    <row r="1" spans="1:14" x14ac:dyDescent="0.3">
      <c r="A1" s="6" t="s">
        <v>757</v>
      </c>
      <c r="B1" s="6" t="s">
        <v>0</v>
      </c>
      <c r="C1" s="6" t="s">
        <v>1</v>
      </c>
      <c r="D1" s="6" t="s">
        <v>758</v>
      </c>
      <c r="E1" s="6" t="s">
        <v>759</v>
      </c>
      <c r="F1" s="6" t="s">
        <v>760</v>
      </c>
      <c r="G1" s="6" t="s">
        <v>761</v>
      </c>
      <c r="H1" s="6" t="s">
        <v>762</v>
      </c>
      <c r="I1" s="6" t="s">
        <v>763</v>
      </c>
      <c r="J1" s="6" t="s">
        <v>716</v>
      </c>
      <c r="K1" s="6" t="s">
        <v>764</v>
      </c>
      <c r="L1" s="6" t="s">
        <v>713</v>
      </c>
      <c r="M1" s="6" t="s">
        <v>765</v>
      </c>
      <c r="N1" s="6" t="s">
        <v>201</v>
      </c>
    </row>
    <row r="2" spans="1:14" ht="28.8" x14ac:dyDescent="0.3">
      <c r="A2" s="2" t="s">
        <v>890</v>
      </c>
      <c r="B2" s="2" t="s">
        <v>162</v>
      </c>
      <c r="C2" s="2" t="s">
        <v>163</v>
      </c>
      <c r="D2" s="2" t="s">
        <v>767</v>
      </c>
      <c r="E2" s="2" t="s">
        <v>768</v>
      </c>
      <c r="F2" s="2" t="s">
        <v>769</v>
      </c>
      <c r="G2" s="2" t="s">
        <v>770</v>
      </c>
      <c r="H2" s="7">
        <v>7</v>
      </c>
      <c r="I2" s="3">
        <v>5800</v>
      </c>
      <c r="J2" s="2" t="s">
        <v>717</v>
      </c>
      <c r="K2" s="3">
        <v>40600</v>
      </c>
      <c r="L2" s="2" t="s">
        <v>714</v>
      </c>
      <c r="M2" s="2" t="s">
        <v>60</v>
      </c>
      <c r="N2" s="2" t="s">
        <v>771</v>
      </c>
    </row>
    <row r="3" spans="1:14" ht="28.8" x14ac:dyDescent="0.3">
      <c r="A3" s="2" t="s">
        <v>891</v>
      </c>
      <c r="B3" s="2" t="s">
        <v>162</v>
      </c>
      <c r="C3" s="2" t="s">
        <v>163</v>
      </c>
      <c r="D3" s="2" t="s">
        <v>767</v>
      </c>
      <c r="E3" s="2" t="s">
        <v>773</v>
      </c>
      <c r="F3" s="2" t="s">
        <v>774</v>
      </c>
      <c r="G3" s="2" t="s">
        <v>770</v>
      </c>
      <c r="H3" s="7">
        <v>5</v>
      </c>
      <c r="I3" s="3">
        <v>5200</v>
      </c>
      <c r="J3" s="2" t="s">
        <v>717</v>
      </c>
      <c r="K3" s="3">
        <v>26000</v>
      </c>
      <c r="L3" s="2" t="s">
        <v>714</v>
      </c>
      <c r="M3" s="2" t="s">
        <v>60</v>
      </c>
      <c r="N3" s="2" t="s">
        <v>771</v>
      </c>
    </row>
    <row r="4" spans="1:14" ht="28.8" x14ac:dyDescent="0.3">
      <c r="A4" s="2" t="s">
        <v>892</v>
      </c>
      <c r="B4" s="2" t="s">
        <v>162</v>
      </c>
      <c r="C4" s="2" t="s">
        <v>163</v>
      </c>
      <c r="D4" s="2" t="s">
        <v>767</v>
      </c>
      <c r="E4" s="2" t="s">
        <v>776</v>
      </c>
      <c r="F4" s="2" t="s">
        <v>777</v>
      </c>
      <c r="G4" s="2" t="s">
        <v>770</v>
      </c>
      <c r="H4" s="7">
        <v>2</v>
      </c>
      <c r="I4" s="3">
        <v>4500</v>
      </c>
      <c r="J4" s="2" t="s">
        <v>717</v>
      </c>
      <c r="K4" s="3">
        <v>9000</v>
      </c>
      <c r="L4" s="2" t="s">
        <v>714</v>
      </c>
      <c r="M4" s="2" t="s">
        <v>60</v>
      </c>
      <c r="N4" s="2" t="s">
        <v>771</v>
      </c>
    </row>
    <row r="5" spans="1:14" ht="28.8" x14ac:dyDescent="0.3">
      <c r="A5" s="2" t="s">
        <v>893</v>
      </c>
      <c r="B5" s="2" t="s">
        <v>162</v>
      </c>
      <c r="C5" s="2" t="s">
        <v>163</v>
      </c>
      <c r="D5" s="2" t="s">
        <v>767</v>
      </c>
      <c r="E5" s="2" t="s">
        <v>779</v>
      </c>
      <c r="F5" s="2" t="s">
        <v>780</v>
      </c>
      <c r="G5" s="2" t="s">
        <v>770</v>
      </c>
      <c r="H5" s="7">
        <v>2</v>
      </c>
      <c r="I5" s="3">
        <v>3200</v>
      </c>
      <c r="J5" s="2" t="s">
        <v>717</v>
      </c>
      <c r="K5" s="3">
        <v>6400</v>
      </c>
      <c r="L5" s="2" t="s">
        <v>714</v>
      </c>
      <c r="M5" s="2" t="s">
        <v>60</v>
      </c>
      <c r="N5" s="2" t="s">
        <v>771</v>
      </c>
    </row>
    <row r="6" spans="1:14" ht="28.8" x14ac:dyDescent="0.3">
      <c r="A6" s="2" t="s">
        <v>894</v>
      </c>
      <c r="B6" s="2" t="s">
        <v>162</v>
      </c>
      <c r="C6" s="2" t="s">
        <v>163</v>
      </c>
      <c r="D6" s="2" t="s">
        <v>767</v>
      </c>
      <c r="E6" s="2" t="s">
        <v>782</v>
      </c>
      <c r="F6" s="2" t="s">
        <v>783</v>
      </c>
      <c r="G6" s="2" t="s">
        <v>770</v>
      </c>
      <c r="H6" s="7">
        <v>8</v>
      </c>
      <c r="I6" s="3">
        <v>900</v>
      </c>
      <c r="J6" s="2" t="s">
        <v>717</v>
      </c>
      <c r="K6" s="3">
        <v>7200</v>
      </c>
      <c r="L6" s="2" t="s">
        <v>714</v>
      </c>
      <c r="M6" s="2" t="s">
        <v>60</v>
      </c>
      <c r="N6" s="2" t="s">
        <v>771</v>
      </c>
    </row>
    <row r="7" spans="1:14" ht="28.8" x14ac:dyDescent="0.3">
      <c r="A7" s="2" t="s">
        <v>895</v>
      </c>
      <c r="B7" s="2" t="s">
        <v>162</v>
      </c>
      <c r="C7" s="2" t="s">
        <v>163</v>
      </c>
      <c r="D7" s="2" t="s">
        <v>785</v>
      </c>
      <c r="E7" s="2" t="s">
        <v>786</v>
      </c>
      <c r="F7" s="2" t="s">
        <v>787</v>
      </c>
      <c r="G7" s="2" t="s">
        <v>770</v>
      </c>
      <c r="H7" s="7">
        <v>8</v>
      </c>
      <c r="I7" s="3">
        <v>2300</v>
      </c>
      <c r="J7" s="2" t="s">
        <v>717</v>
      </c>
      <c r="K7" s="3">
        <v>18400</v>
      </c>
      <c r="L7" s="2" t="s">
        <v>714</v>
      </c>
      <c r="M7" s="2" t="s">
        <v>60</v>
      </c>
      <c r="N7" s="2" t="s">
        <v>771</v>
      </c>
    </row>
    <row r="8" spans="1:14" ht="28.8" x14ac:dyDescent="0.3">
      <c r="A8" s="2" t="s">
        <v>896</v>
      </c>
      <c r="B8" s="2" t="s">
        <v>162</v>
      </c>
      <c r="C8" s="2" t="s">
        <v>163</v>
      </c>
      <c r="D8" s="2" t="s">
        <v>785</v>
      </c>
      <c r="E8" s="2" t="s">
        <v>789</v>
      </c>
      <c r="F8" s="2" t="s">
        <v>790</v>
      </c>
      <c r="G8" s="2" t="s">
        <v>770</v>
      </c>
      <c r="H8" s="7">
        <v>4</v>
      </c>
      <c r="I8" s="3">
        <v>1600</v>
      </c>
      <c r="J8" s="2" t="s">
        <v>717</v>
      </c>
      <c r="K8" s="3">
        <v>6400</v>
      </c>
      <c r="L8" s="2" t="s">
        <v>714</v>
      </c>
      <c r="M8" s="2" t="s">
        <v>60</v>
      </c>
      <c r="N8" s="2" t="s">
        <v>771</v>
      </c>
    </row>
    <row r="9" spans="1:14" ht="28.8" x14ac:dyDescent="0.3">
      <c r="A9" s="2" t="s">
        <v>897</v>
      </c>
      <c r="B9" s="2" t="s">
        <v>162</v>
      </c>
      <c r="C9" s="2" t="s">
        <v>163</v>
      </c>
      <c r="D9" s="2" t="s">
        <v>767</v>
      </c>
      <c r="E9" s="2" t="s">
        <v>792</v>
      </c>
      <c r="F9" s="2" t="s">
        <v>793</v>
      </c>
      <c r="G9" s="2" t="s">
        <v>794</v>
      </c>
      <c r="H9" s="7">
        <v>1</v>
      </c>
      <c r="I9" s="3">
        <v>15800</v>
      </c>
      <c r="J9" s="2" t="s">
        <v>717</v>
      </c>
      <c r="K9" s="3">
        <v>15800</v>
      </c>
      <c r="L9" s="2" t="s">
        <v>714</v>
      </c>
      <c r="M9" s="2" t="s">
        <v>60</v>
      </c>
      <c r="N9" s="2" t="s">
        <v>771</v>
      </c>
    </row>
    <row r="10" spans="1:14" ht="57.6" x14ac:dyDescent="0.3">
      <c r="A10" s="2" t="s">
        <v>898</v>
      </c>
      <c r="B10" s="2" t="s">
        <v>162</v>
      </c>
      <c r="C10" s="2" t="s">
        <v>163</v>
      </c>
      <c r="D10" s="2" t="s">
        <v>796</v>
      </c>
      <c r="E10" s="2" t="s">
        <v>797</v>
      </c>
      <c r="F10" s="2" t="s">
        <v>798</v>
      </c>
      <c r="G10" s="2" t="s">
        <v>794</v>
      </c>
      <c r="H10" s="7">
        <v>1</v>
      </c>
      <c r="I10" s="3">
        <v>76200</v>
      </c>
      <c r="J10" s="2" t="s">
        <v>799</v>
      </c>
      <c r="K10" s="3">
        <v>76200</v>
      </c>
      <c r="L10" s="2" t="s">
        <v>714</v>
      </c>
      <c r="M10" s="2" t="s">
        <v>60</v>
      </c>
      <c r="N10" s="2" t="s">
        <v>771</v>
      </c>
    </row>
  </sheetData>
  <dataValidations count="5">
    <dataValidation type="list" sqref="C2:C100" xr:uid="{00000000-0002-0000-1200-000000000000}">
      <formula1>"AP,BA,CE,DF,ES,MG,PA,PE,RN,RS,SE,RR,GO,AM"</formula1>
    </dataValidation>
    <dataValidation type="list" sqref="G2:G100" xr:uid="{00000000-0002-0000-1200-000001000000}">
      <formula1>"un,lote"</formula1>
    </dataValidation>
    <dataValidation type="list" sqref="J2:J100" xr:uid="{00000000-0002-0000-1200-000002000000}">
      <formula1>"Repasse,Contrapartida,Repasse/Contrapartida"</formula1>
    </dataValidation>
    <dataValidation type="list" sqref="L2:L100" xr:uid="{00000000-0002-0000-1200-000003000000}">
      <formula1>"Capital,Custeio"</formula1>
    </dataValidation>
    <dataValidation type="list" sqref="M2:M100" xr:uid="{00000000-0002-0000-1200-000004000000}">
      <formula1>"Sim,Não"</formula1>
    </dataValidation>
  </dataValidation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10"/>
  <sheetViews>
    <sheetView workbookViewId="0"/>
  </sheetViews>
  <sheetFormatPr defaultRowHeight="14.4" x14ac:dyDescent="0.3"/>
  <cols>
    <col min="1" max="1" width="18" customWidth="1"/>
    <col min="2" max="2" width="16" customWidth="1"/>
    <col min="3" max="3" width="8" customWidth="1"/>
    <col min="4" max="4" width="26" customWidth="1"/>
    <col min="5" max="5" width="34" customWidth="1"/>
    <col min="6" max="6" width="42" customWidth="1"/>
    <col min="7" max="8" width="12" customWidth="1"/>
    <col min="9" max="9" width="16" customWidth="1"/>
    <col min="10" max="10" width="20" customWidth="1"/>
    <col min="11" max="11" width="16" customWidth="1"/>
    <col min="12" max="12" width="14" customWidth="1"/>
    <col min="13" max="13" width="12" customWidth="1"/>
    <col min="14" max="14" width="42" customWidth="1"/>
  </cols>
  <sheetData>
    <row r="1" spans="1:14" x14ac:dyDescent="0.3">
      <c r="A1" s="6" t="s">
        <v>757</v>
      </c>
      <c r="B1" s="6" t="s">
        <v>0</v>
      </c>
      <c r="C1" s="6" t="s">
        <v>1</v>
      </c>
      <c r="D1" s="6" t="s">
        <v>758</v>
      </c>
      <c r="E1" s="6" t="s">
        <v>759</v>
      </c>
      <c r="F1" s="6" t="s">
        <v>760</v>
      </c>
      <c r="G1" s="6" t="s">
        <v>761</v>
      </c>
      <c r="H1" s="6" t="s">
        <v>762</v>
      </c>
      <c r="I1" s="6" t="s">
        <v>763</v>
      </c>
      <c r="J1" s="6" t="s">
        <v>716</v>
      </c>
      <c r="K1" s="6" t="s">
        <v>764</v>
      </c>
      <c r="L1" s="6" t="s">
        <v>713</v>
      </c>
      <c r="M1" s="6" t="s">
        <v>765</v>
      </c>
      <c r="N1" s="6" t="s">
        <v>201</v>
      </c>
    </row>
    <row r="2" spans="1:14" ht="28.8" x14ac:dyDescent="0.3">
      <c r="A2" s="2" t="s">
        <v>899</v>
      </c>
      <c r="B2" s="2" t="s">
        <v>171</v>
      </c>
      <c r="C2" s="2" t="s">
        <v>172</v>
      </c>
      <c r="D2" s="2" t="s">
        <v>767</v>
      </c>
      <c r="E2" s="2" t="s">
        <v>768</v>
      </c>
      <c r="F2" s="2" t="s">
        <v>769</v>
      </c>
      <c r="G2" s="2" t="s">
        <v>770</v>
      </c>
      <c r="H2" s="7">
        <v>7</v>
      </c>
      <c r="I2" s="3">
        <v>5800</v>
      </c>
      <c r="J2" s="2" t="s">
        <v>717</v>
      </c>
      <c r="K2" s="3">
        <v>40600</v>
      </c>
      <c r="L2" s="2" t="s">
        <v>714</v>
      </c>
      <c r="M2" s="2" t="s">
        <v>60</v>
      </c>
      <c r="N2" s="2" t="s">
        <v>771</v>
      </c>
    </row>
    <row r="3" spans="1:14" ht="28.8" x14ac:dyDescent="0.3">
      <c r="A3" s="2" t="s">
        <v>900</v>
      </c>
      <c r="B3" s="2" t="s">
        <v>171</v>
      </c>
      <c r="C3" s="2" t="s">
        <v>172</v>
      </c>
      <c r="D3" s="2" t="s">
        <v>767</v>
      </c>
      <c r="E3" s="2" t="s">
        <v>773</v>
      </c>
      <c r="F3" s="2" t="s">
        <v>774</v>
      </c>
      <c r="G3" s="2" t="s">
        <v>770</v>
      </c>
      <c r="H3" s="7">
        <v>5</v>
      </c>
      <c r="I3" s="3">
        <v>5200</v>
      </c>
      <c r="J3" s="2" t="s">
        <v>717</v>
      </c>
      <c r="K3" s="3">
        <v>26000</v>
      </c>
      <c r="L3" s="2" t="s">
        <v>714</v>
      </c>
      <c r="M3" s="2" t="s">
        <v>60</v>
      </c>
      <c r="N3" s="2" t="s">
        <v>771</v>
      </c>
    </row>
    <row r="4" spans="1:14" ht="28.8" x14ac:dyDescent="0.3">
      <c r="A4" s="2" t="s">
        <v>901</v>
      </c>
      <c r="B4" s="2" t="s">
        <v>171</v>
      </c>
      <c r="C4" s="2" t="s">
        <v>172</v>
      </c>
      <c r="D4" s="2" t="s">
        <v>767</v>
      </c>
      <c r="E4" s="2" t="s">
        <v>776</v>
      </c>
      <c r="F4" s="2" t="s">
        <v>777</v>
      </c>
      <c r="G4" s="2" t="s">
        <v>770</v>
      </c>
      <c r="H4" s="7">
        <v>2</v>
      </c>
      <c r="I4" s="3">
        <v>4500</v>
      </c>
      <c r="J4" s="2" t="s">
        <v>717</v>
      </c>
      <c r="K4" s="3">
        <v>9000</v>
      </c>
      <c r="L4" s="2" t="s">
        <v>714</v>
      </c>
      <c r="M4" s="2" t="s">
        <v>60</v>
      </c>
      <c r="N4" s="2" t="s">
        <v>771</v>
      </c>
    </row>
    <row r="5" spans="1:14" ht="28.8" x14ac:dyDescent="0.3">
      <c r="A5" s="2" t="s">
        <v>902</v>
      </c>
      <c r="B5" s="2" t="s">
        <v>171</v>
      </c>
      <c r="C5" s="2" t="s">
        <v>172</v>
      </c>
      <c r="D5" s="2" t="s">
        <v>767</v>
      </c>
      <c r="E5" s="2" t="s">
        <v>779</v>
      </c>
      <c r="F5" s="2" t="s">
        <v>780</v>
      </c>
      <c r="G5" s="2" t="s">
        <v>770</v>
      </c>
      <c r="H5" s="7">
        <v>2</v>
      </c>
      <c r="I5" s="3">
        <v>3200</v>
      </c>
      <c r="J5" s="2" t="s">
        <v>717</v>
      </c>
      <c r="K5" s="3">
        <v>6400</v>
      </c>
      <c r="L5" s="2" t="s">
        <v>714</v>
      </c>
      <c r="M5" s="2" t="s">
        <v>60</v>
      </c>
      <c r="N5" s="2" t="s">
        <v>771</v>
      </c>
    </row>
    <row r="6" spans="1:14" ht="28.8" x14ac:dyDescent="0.3">
      <c r="A6" s="2" t="s">
        <v>903</v>
      </c>
      <c r="B6" s="2" t="s">
        <v>171</v>
      </c>
      <c r="C6" s="2" t="s">
        <v>172</v>
      </c>
      <c r="D6" s="2" t="s">
        <v>767</v>
      </c>
      <c r="E6" s="2" t="s">
        <v>782</v>
      </c>
      <c r="F6" s="2" t="s">
        <v>783</v>
      </c>
      <c r="G6" s="2" t="s">
        <v>770</v>
      </c>
      <c r="H6" s="7">
        <v>8</v>
      </c>
      <c r="I6" s="3">
        <v>900</v>
      </c>
      <c r="J6" s="2" t="s">
        <v>717</v>
      </c>
      <c r="K6" s="3">
        <v>7200</v>
      </c>
      <c r="L6" s="2" t="s">
        <v>714</v>
      </c>
      <c r="M6" s="2" t="s">
        <v>60</v>
      </c>
      <c r="N6" s="2" t="s">
        <v>771</v>
      </c>
    </row>
    <row r="7" spans="1:14" ht="28.8" x14ac:dyDescent="0.3">
      <c r="A7" s="2" t="s">
        <v>904</v>
      </c>
      <c r="B7" s="2" t="s">
        <v>171</v>
      </c>
      <c r="C7" s="2" t="s">
        <v>172</v>
      </c>
      <c r="D7" s="2" t="s">
        <v>785</v>
      </c>
      <c r="E7" s="2" t="s">
        <v>786</v>
      </c>
      <c r="F7" s="2" t="s">
        <v>787</v>
      </c>
      <c r="G7" s="2" t="s">
        <v>770</v>
      </c>
      <c r="H7" s="7">
        <v>8</v>
      </c>
      <c r="I7" s="3">
        <v>2300</v>
      </c>
      <c r="J7" s="2" t="s">
        <v>717</v>
      </c>
      <c r="K7" s="3">
        <v>18400</v>
      </c>
      <c r="L7" s="2" t="s">
        <v>714</v>
      </c>
      <c r="M7" s="2" t="s">
        <v>60</v>
      </c>
      <c r="N7" s="2" t="s">
        <v>771</v>
      </c>
    </row>
    <row r="8" spans="1:14" ht="28.8" x14ac:dyDescent="0.3">
      <c r="A8" s="2" t="s">
        <v>905</v>
      </c>
      <c r="B8" s="2" t="s">
        <v>171</v>
      </c>
      <c r="C8" s="2" t="s">
        <v>172</v>
      </c>
      <c r="D8" s="2" t="s">
        <v>785</v>
      </c>
      <c r="E8" s="2" t="s">
        <v>789</v>
      </c>
      <c r="F8" s="2" t="s">
        <v>790</v>
      </c>
      <c r="G8" s="2" t="s">
        <v>770</v>
      </c>
      <c r="H8" s="7">
        <v>4</v>
      </c>
      <c r="I8" s="3">
        <v>1600</v>
      </c>
      <c r="J8" s="2" t="s">
        <v>717</v>
      </c>
      <c r="K8" s="3">
        <v>6400</v>
      </c>
      <c r="L8" s="2" t="s">
        <v>714</v>
      </c>
      <c r="M8" s="2" t="s">
        <v>60</v>
      </c>
      <c r="N8" s="2" t="s">
        <v>771</v>
      </c>
    </row>
    <row r="9" spans="1:14" ht="28.8" x14ac:dyDescent="0.3">
      <c r="A9" s="2" t="s">
        <v>906</v>
      </c>
      <c r="B9" s="2" t="s">
        <v>171</v>
      </c>
      <c r="C9" s="2" t="s">
        <v>172</v>
      </c>
      <c r="D9" s="2" t="s">
        <v>767</v>
      </c>
      <c r="E9" s="2" t="s">
        <v>792</v>
      </c>
      <c r="F9" s="2" t="s">
        <v>793</v>
      </c>
      <c r="G9" s="2" t="s">
        <v>794</v>
      </c>
      <c r="H9" s="7">
        <v>1</v>
      </c>
      <c r="I9" s="3">
        <v>15800</v>
      </c>
      <c r="J9" s="2" t="s">
        <v>717</v>
      </c>
      <c r="K9" s="3">
        <v>15800</v>
      </c>
      <c r="L9" s="2" t="s">
        <v>714</v>
      </c>
      <c r="M9" s="2" t="s">
        <v>60</v>
      </c>
      <c r="N9" s="2" t="s">
        <v>771</v>
      </c>
    </row>
    <row r="10" spans="1:14" ht="57.6" x14ac:dyDescent="0.3">
      <c r="A10" s="2" t="s">
        <v>907</v>
      </c>
      <c r="B10" s="2" t="s">
        <v>171</v>
      </c>
      <c r="C10" s="2" t="s">
        <v>172</v>
      </c>
      <c r="D10" s="2" t="s">
        <v>796</v>
      </c>
      <c r="E10" s="2" t="s">
        <v>797</v>
      </c>
      <c r="F10" s="2" t="s">
        <v>798</v>
      </c>
      <c r="G10" s="2" t="s">
        <v>794</v>
      </c>
      <c r="H10" s="7">
        <v>1</v>
      </c>
      <c r="I10" s="3">
        <v>86200</v>
      </c>
      <c r="J10" s="2" t="s">
        <v>799</v>
      </c>
      <c r="K10" s="3">
        <v>86200</v>
      </c>
      <c r="L10" s="2" t="s">
        <v>714</v>
      </c>
      <c r="M10" s="2" t="s">
        <v>60</v>
      </c>
      <c r="N10" s="2" t="s">
        <v>771</v>
      </c>
    </row>
  </sheetData>
  <dataValidations count="5">
    <dataValidation type="list" sqref="C2:C100" xr:uid="{00000000-0002-0000-1300-000000000000}">
      <formula1>"AP,BA,CE,DF,ES,MG,PA,PE,RN,RS,SE,RR,GO,AM"</formula1>
    </dataValidation>
    <dataValidation type="list" sqref="G2:G100" xr:uid="{00000000-0002-0000-1300-000001000000}">
      <formula1>"un,lote"</formula1>
    </dataValidation>
    <dataValidation type="list" sqref="J2:J100" xr:uid="{00000000-0002-0000-1300-000002000000}">
      <formula1>"Repasse,Contrapartida,Repasse/Contrapartida"</formula1>
    </dataValidation>
    <dataValidation type="list" sqref="L2:L100" xr:uid="{00000000-0002-0000-1300-000003000000}">
      <formula1>"Capital,Custeio"</formula1>
    </dataValidation>
    <dataValidation type="list" sqref="M2:M100" xr:uid="{00000000-0002-0000-1300-000004000000}">
      <formula1>"Sim,Não"</formula1>
    </dataValidation>
  </dataValidations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10"/>
  <sheetViews>
    <sheetView workbookViewId="0"/>
  </sheetViews>
  <sheetFormatPr defaultRowHeight="14.4" x14ac:dyDescent="0.3"/>
  <cols>
    <col min="1" max="1" width="18" customWidth="1"/>
    <col min="2" max="2" width="16" customWidth="1"/>
    <col min="3" max="3" width="8" customWidth="1"/>
    <col min="4" max="4" width="26" customWidth="1"/>
    <col min="5" max="5" width="34" customWidth="1"/>
    <col min="6" max="6" width="42" customWidth="1"/>
    <col min="7" max="8" width="12" customWidth="1"/>
    <col min="9" max="9" width="16" customWidth="1"/>
    <col min="10" max="10" width="20" customWidth="1"/>
    <col min="11" max="11" width="16" customWidth="1"/>
    <col min="12" max="12" width="14" customWidth="1"/>
    <col min="13" max="13" width="12" customWidth="1"/>
    <col min="14" max="14" width="42" customWidth="1"/>
  </cols>
  <sheetData>
    <row r="1" spans="1:14" x14ac:dyDescent="0.3">
      <c r="A1" s="6" t="s">
        <v>757</v>
      </c>
      <c r="B1" s="6" t="s">
        <v>0</v>
      </c>
      <c r="C1" s="6" t="s">
        <v>1</v>
      </c>
      <c r="D1" s="6" t="s">
        <v>758</v>
      </c>
      <c r="E1" s="6" t="s">
        <v>759</v>
      </c>
      <c r="F1" s="6" t="s">
        <v>760</v>
      </c>
      <c r="G1" s="6" t="s">
        <v>761</v>
      </c>
      <c r="H1" s="6" t="s">
        <v>762</v>
      </c>
      <c r="I1" s="6" t="s">
        <v>763</v>
      </c>
      <c r="J1" s="6" t="s">
        <v>716</v>
      </c>
      <c r="K1" s="6" t="s">
        <v>764</v>
      </c>
      <c r="L1" s="6" t="s">
        <v>713</v>
      </c>
      <c r="M1" s="6" t="s">
        <v>765</v>
      </c>
      <c r="N1" s="6" t="s">
        <v>201</v>
      </c>
    </row>
    <row r="2" spans="1:14" ht="28.8" x14ac:dyDescent="0.3">
      <c r="A2" s="2" t="s">
        <v>908</v>
      </c>
      <c r="B2" s="2" t="s">
        <v>180</v>
      </c>
      <c r="C2" s="2" t="s">
        <v>181</v>
      </c>
      <c r="D2" s="2" t="s">
        <v>767</v>
      </c>
      <c r="E2" s="2" t="s">
        <v>768</v>
      </c>
      <c r="F2" s="2" t="s">
        <v>769</v>
      </c>
      <c r="G2" s="2" t="s">
        <v>770</v>
      </c>
      <c r="H2" s="7">
        <v>7</v>
      </c>
      <c r="I2" s="3">
        <v>5800</v>
      </c>
      <c r="J2" s="2" t="s">
        <v>717</v>
      </c>
      <c r="K2" s="3">
        <v>40600</v>
      </c>
      <c r="L2" s="2" t="s">
        <v>714</v>
      </c>
      <c r="M2" s="2" t="s">
        <v>60</v>
      </c>
      <c r="N2" s="2" t="s">
        <v>771</v>
      </c>
    </row>
    <row r="3" spans="1:14" ht="28.8" x14ac:dyDescent="0.3">
      <c r="A3" s="2" t="s">
        <v>909</v>
      </c>
      <c r="B3" s="2" t="s">
        <v>180</v>
      </c>
      <c r="C3" s="2" t="s">
        <v>181</v>
      </c>
      <c r="D3" s="2" t="s">
        <v>767</v>
      </c>
      <c r="E3" s="2" t="s">
        <v>773</v>
      </c>
      <c r="F3" s="2" t="s">
        <v>774</v>
      </c>
      <c r="G3" s="2" t="s">
        <v>770</v>
      </c>
      <c r="H3" s="7">
        <v>5</v>
      </c>
      <c r="I3" s="3">
        <v>5200</v>
      </c>
      <c r="J3" s="2" t="s">
        <v>717</v>
      </c>
      <c r="K3" s="3">
        <v>26000</v>
      </c>
      <c r="L3" s="2" t="s">
        <v>714</v>
      </c>
      <c r="M3" s="2" t="s">
        <v>60</v>
      </c>
      <c r="N3" s="2" t="s">
        <v>771</v>
      </c>
    </row>
    <row r="4" spans="1:14" ht="28.8" x14ac:dyDescent="0.3">
      <c r="A4" s="2" t="s">
        <v>910</v>
      </c>
      <c r="B4" s="2" t="s">
        <v>180</v>
      </c>
      <c r="C4" s="2" t="s">
        <v>181</v>
      </c>
      <c r="D4" s="2" t="s">
        <v>767</v>
      </c>
      <c r="E4" s="2" t="s">
        <v>776</v>
      </c>
      <c r="F4" s="2" t="s">
        <v>777</v>
      </c>
      <c r="G4" s="2" t="s">
        <v>770</v>
      </c>
      <c r="H4" s="7">
        <v>2</v>
      </c>
      <c r="I4" s="3">
        <v>4500</v>
      </c>
      <c r="J4" s="2" t="s">
        <v>717</v>
      </c>
      <c r="K4" s="3">
        <v>9000</v>
      </c>
      <c r="L4" s="2" t="s">
        <v>714</v>
      </c>
      <c r="M4" s="2" t="s">
        <v>60</v>
      </c>
      <c r="N4" s="2" t="s">
        <v>771</v>
      </c>
    </row>
    <row r="5" spans="1:14" ht="28.8" x14ac:dyDescent="0.3">
      <c r="A5" s="2" t="s">
        <v>911</v>
      </c>
      <c r="B5" s="2" t="s">
        <v>180</v>
      </c>
      <c r="C5" s="2" t="s">
        <v>181</v>
      </c>
      <c r="D5" s="2" t="s">
        <v>767</v>
      </c>
      <c r="E5" s="2" t="s">
        <v>779</v>
      </c>
      <c r="F5" s="2" t="s">
        <v>780</v>
      </c>
      <c r="G5" s="2" t="s">
        <v>770</v>
      </c>
      <c r="H5" s="7">
        <v>2</v>
      </c>
      <c r="I5" s="3">
        <v>3200</v>
      </c>
      <c r="J5" s="2" t="s">
        <v>717</v>
      </c>
      <c r="K5" s="3">
        <v>6400</v>
      </c>
      <c r="L5" s="2" t="s">
        <v>714</v>
      </c>
      <c r="M5" s="2" t="s">
        <v>60</v>
      </c>
      <c r="N5" s="2" t="s">
        <v>771</v>
      </c>
    </row>
    <row r="6" spans="1:14" ht="28.8" x14ac:dyDescent="0.3">
      <c r="A6" s="2" t="s">
        <v>912</v>
      </c>
      <c r="B6" s="2" t="s">
        <v>180</v>
      </c>
      <c r="C6" s="2" t="s">
        <v>181</v>
      </c>
      <c r="D6" s="2" t="s">
        <v>767</v>
      </c>
      <c r="E6" s="2" t="s">
        <v>782</v>
      </c>
      <c r="F6" s="2" t="s">
        <v>783</v>
      </c>
      <c r="G6" s="2" t="s">
        <v>770</v>
      </c>
      <c r="H6" s="7">
        <v>8</v>
      </c>
      <c r="I6" s="3">
        <v>900</v>
      </c>
      <c r="J6" s="2" t="s">
        <v>717</v>
      </c>
      <c r="K6" s="3">
        <v>7200</v>
      </c>
      <c r="L6" s="2" t="s">
        <v>714</v>
      </c>
      <c r="M6" s="2" t="s">
        <v>60</v>
      </c>
      <c r="N6" s="2" t="s">
        <v>771</v>
      </c>
    </row>
    <row r="7" spans="1:14" ht="28.8" x14ac:dyDescent="0.3">
      <c r="A7" s="2" t="s">
        <v>913</v>
      </c>
      <c r="B7" s="2" t="s">
        <v>180</v>
      </c>
      <c r="C7" s="2" t="s">
        <v>181</v>
      </c>
      <c r="D7" s="2" t="s">
        <v>785</v>
      </c>
      <c r="E7" s="2" t="s">
        <v>786</v>
      </c>
      <c r="F7" s="2" t="s">
        <v>787</v>
      </c>
      <c r="G7" s="2" t="s">
        <v>770</v>
      </c>
      <c r="H7" s="7">
        <v>8</v>
      </c>
      <c r="I7" s="3">
        <v>2300</v>
      </c>
      <c r="J7" s="2" t="s">
        <v>717</v>
      </c>
      <c r="K7" s="3">
        <v>18400</v>
      </c>
      <c r="L7" s="2" t="s">
        <v>714</v>
      </c>
      <c r="M7" s="2" t="s">
        <v>60</v>
      </c>
      <c r="N7" s="2" t="s">
        <v>771</v>
      </c>
    </row>
    <row r="8" spans="1:14" ht="28.8" x14ac:dyDescent="0.3">
      <c r="A8" s="2" t="s">
        <v>914</v>
      </c>
      <c r="B8" s="2" t="s">
        <v>180</v>
      </c>
      <c r="C8" s="2" t="s">
        <v>181</v>
      </c>
      <c r="D8" s="2" t="s">
        <v>785</v>
      </c>
      <c r="E8" s="2" t="s">
        <v>789</v>
      </c>
      <c r="F8" s="2" t="s">
        <v>790</v>
      </c>
      <c r="G8" s="2" t="s">
        <v>770</v>
      </c>
      <c r="H8" s="7">
        <v>4</v>
      </c>
      <c r="I8" s="3">
        <v>1600</v>
      </c>
      <c r="J8" s="2" t="s">
        <v>717</v>
      </c>
      <c r="K8" s="3">
        <v>6400</v>
      </c>
      <c r="L8" s="2" t="s">
        <v>714</v>
      </c>
      <c r="M8" s="2" t="s">
        <v>60</v>
      </c>
      <c r="N8" s="2" t="s">
        <v>771</v>
      </c>
    </row>
    <row r="9" spans="1:14" ht="28.8" x14ac:dyDescent="0.3">
      <c r="A9" s="2" t="s">
        <v>915</v>
      </c>
      <c r="B9" s="2" t="s">
        <v>180</v>
      </c>
      <c r="C9" s="2" t="s">
        <v>181</v>
      </c>
      <c r="D9" s="2" t="s">
        <v>767</v>
      </c>
      <c r="E9" s="2" t="s">
        <v>792</v>
      </c>
      <c r="F9" s="2" t="s">
        <v>793</v>
      </c>
      <c r="G9" s="2" t="s">
        <v>794</v>
      </c>
      <c r="H9" s="7">
        <v>1</v>
      </c>
      <c r="I9" s="3">
        <v>15800</v>
      </c>
      <c r="J9" s="2" t="s">
        <v>717</v>
      </c>
      <c r="K9" s="3">
        <v>15800</v>
      </c>
      <c r="L9" s="2" t="s">
        <v>714</v>
      </c>
      <c r="M9" s="2" t="s">
        <v>60</v>
      </c>
      <c r="N9" s="2" t="s">
        <v>771</v>
      </c>
    </row>
    <row r="10" spans="1:14" ht="57.6" x14ac:dyDescent="0.3">
      <c r="A10" s="2" t="s">
        <v>916</v>
      </c>
      <c r="B10" s="2" t="s">
        <v>180</v>
      </c>
      <c r="C10" s="2" t="s">
        <v>181</v>
      </c>
      <c r="D10" s="2" t="s">
        <v>796</v>
      </c>
      <c r="E10" s="2" t="s">
        <v>797</v>
      </c>
      <c r="F10" s="2" t="s">
        <v>798</v>
      </c>
      <c r="G10" s="2" t="s">
        <v>794</v>
      </c>
      <c r="H10" s="7">
        <v>1</v>
      </c>
      <c r="I10" s="3">
        <v>81200</v>
      </c>
      <c r="J10" s="2" t="s">
        <v>799</v>
      </c>
      <c r="K10" s="3">
        <v>81200</v>
      </c>
      <c r="L10" s="2" t="s">
        <v>714</v>
      </c>
      <c r="M10" s="2" t="s">
        <v>60</v>
      </c>
      <c r="N10" s="2" t="s">
        <v>771</v>
      </c>
    </row>
  </sheetData>
  <dataValidations count="5">
    <dataValidation type="list" sqref="C2:C100" xr:uid="{00000000-0002-0000-1400-000000000000}">
      <formula1>"AP,BA,CE,DF,ES,MG,PA,PE,RN,RS,SE,RR,GO,AM"</formula1>
    </dataValidation>
    <dataValidation type="list" sqref="G2:G100" xr:uid="{00000000-0002-0000-1400-000001000000}">
      <formula1>"un,lote"</formula1>
    </dataValidation>
    <dataValidation type="list" sqref="J2:J100" xr:uid="{00000000-0002-0000-1400-000002000000}">
      <formula1>"Repasse,Contrapartida,Repasse/Contrapartida"</formula1>
    </dataValidation>
    <dataValidation type="list" sqref="L2:L100" xr:uid="{00000000-0002-0000-1400-000003000000}">
      <formula1>"Capital,Custeio"</formula1>
    </dataValidation>
    <dataValidation type="list" sqref="M2:M100" xr:uid="{00000000-0002-0000-1400-000004000000}">
      <formula1>"Sim,Não"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21</vt:i4>
      </vt:variant>
    </vt:vector>
  </HeadingPairs>
  <TitlesOfParts>
    <vt:vector size="21" baseType="lpstr">
      <vt:lpstr>Painel_Propostas</vt:lpstr>
      <vt:lpstr>Checklist_Documentos</vt:lpstr>
      <vt:lpstr>Dicionario_Documentos</vt:lpstr>
      <vt:lpstr>Gestores_Responsaveis</vt:lpstr>
      <vt:lpstr>Parametros</vt:lpstr>
      <vt:lpstr>Validacoes</vt:lpstr>
      <vt:lpstr>Referencias</vt:lpstr>
      <vt:lpstr>Plano_AP</vt:lpstr>
      <vt:lpstr>Plano_BA</vt:lpstr>
      <vt:lpstr>Plano_CE</vt:lpstr>
      <vt:lpstr>Plano_DF</vt:lpstr>
      <vt:lpstr>Plano_ES</vt:lpstr>
      <vt:lpstr>Plano_MG</vt:lpstr>
      <vt:lpstr>Plano_PA</vt:lpstr>
      <vt:lpstr>Plano_PE</vt:lpstr>
      <vt:lpstr>Plano_RN</vt:lpstr>
      <vt:lpstr>Plano_RS</vt:lpstr>
      <vt:lpstr>Plano_SE</vt:lpstr>
      <vt:lpstr>Plano_RR</vt:lpstr>
      <vt:lpstr>Plano_GO</vt:lpstr>
      <vt:lpstr>Plano_AM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Rocha Cortez</cp:lastModifiedBy>
  <dcterms:modified xsi:type="dcterms:W3CDTF">2026-05-04T13:25:01Z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59fe9b-6987-45ef-b918-e76911e153f0_Enabled">
    <vt:lpwstr>true</vt:lpwstr>
  </property>
  <property fmtid="{D5CDD505-2E9C-101B-9397-08002B2CF9AE}" pid="3" name="MSIP_Label_0559fe9b-6987-45ef-b918-e76911e153f0_SetDate">
    <vt:lpwstr>2026-05-04T13:18:37Z</vt:lpwstr>
  </property>
  <property fmtid="{D5CDD505-2E9C-101B-9397-08002B2CF9AE}" pid="4" name="MSIP_Label_0559fe9b-6987-45ef-b918-e76911e153f0_Method">
    <vt:lpwstr>Privileged</vt:lpwstr>
  </property>
  <property fmtid="{D5CDD505-2E9C-101B-9397-08002B2CF9AE}" pid="5" name="MSIP_Label_0559fe9b-6987-45ef-b918-e76911e153f0_Name">
    <vt:lpwstr>Público</vt:lpwstr>
  </property>
  <property fmtid="{D5CDD505-2E9C-101B-9397-08002B2CF9AE}" pid="6" name="MSIP_Label_0559fe9b-6987-45ef-b918-e76911e153f0_SiteId">
    <vt:lpwstr>eb090420-444c-43f7-91f2-4b8da6bfe8e1</vt:lpwstr>
  </property>
  <property fmtid="{D5CDD505-2E9C-101B-9397-08002B2CF9AE}" pid="7" name="MSIP_Label_0559fe9b-6987-45ef-b918-e76911e153f0_ActionId">
    <vt:lpwstr>acd87992-2e43-485a-a813-dc40185bbfa3</vt:lpwstr>
  </property>
  <property fmtid="{D5CDD505-2E9C-101B-9397-08002B2CF9AE}" pid="8" name="MSIP_Label_0559fe9b-6987-45ef-b918-e76911e153f0_ContentBits">
    <vt:lpwstr>0</vt:lpwstr>
  </property>
  <property fmtid="{D5CDD505-2E9C-101B-9397-08002B2CF9AE}" pid="9" name="MSIP_Label_0559fe9b-6987-45ef-b918-e76911e153f0_Tag">
    <vt:lpwstr>10, 0, 1, 1</vt:lpwstr>
  </property>
</Properties>
</file>