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justicagovbr-my.sharepoint.com/personal/marcelo_cortez_mj_gov_br1/Documents/1. SENAPPEN/2. OUVIDORIA/GITHUB/FOMENTO-ONASP/FOMENTO-ONASP/"/>
    </mc:Choice>
  </mc:AlternateContent>
  <xr:revisionPtr revIDLastSave="25" documentId="13_ncr:1_{F20D0DE5-6B18-4F7F-97E9-7D6B0EAC69D7}" xr6:coauthVersionLast="47" xr6:coauthVersionMax="47" xr10:uidLastSave="{3859DD02-295D-45E7-9130-3B708331CC9E}"/>
  <bookViews>
    <workbookView xWindow="-108" yWindow="-108" windowWidth="23256" windowHeight="12456" xr2:uid="{00000000-000D-0000-FFFF-FFFF00000000}"/>
  </bookViews>
  <sheets>
    <sheet name="Base_Dados" sheetId="1" r:id="rId1"/>
    <sheet name="Dicionario_Camp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<sst xmlns="http://schemas.openxmlformats.org/spreadsheetml/2006/main" count="152" uniqueCount="92">
  <si>
    <t>ID</t>
  </si>
  <si>
    <t>Frente</t>
  </si>
  <si>
    <t>Grupo</t>
  </si>
  <si>
    <t>Modalidade</t>
  </si>
  <si>
    <t>UFs/Abrangência</t>
  </si>
  <si>
    <t>Item</t>
  </si>
  <si>
    <t>Natureza</t>
  </si>
  <si>
    <t>Quantidade</t>
  </si>
  <si>
    <t>Unidade</t>
  </si>
  <si>
    <t>Valor Total (R$)</t>
  </si>
  <si>
    <t>Valor Unitário (R$)</t>
  </si>
  <si>
    <t>Fonte</t>
  </si>
  <si>
    <t>Observações</t>
  </si>
  <si>
    <t>Status</t>
  </si>
  <si>
    <t>APON-001</t>
  </si>
  <si>
    <t>Aparelhamento de Ouvidorias Estaduais</t>
  </si>
  <si>
    <t>Doações</t>
  </si>
  <si>
    <t>Aquisição de veículos</t>
  </si>
  <si>
    <t>Capital</t>
  </si>
  <si>
    <t>un</t>
  </si>
  <si>
    <t>Planejado</t>
  </si>
  <si>
    <t>APON-002</t>
  </si>
  <si>
    <t>Aquisição de Scanners</t>
  </si>
  <si>
    <t>APON-003</t>
  </si>
  <si>
    <t>Aquisição de câmeras fotográficas</t>
  </si>
  <si>
    <t>APON-004</t>
  </si>
  <si>
    <t>Aquisição de Notebooks</t>
  </si>
  <si>
    <t>APON-005</t>
  </si>
  <si>
    <t>Kits para Leitura de Cartas</t>
  </si>
  <si>
    <t>CONV-001</t>
  </si>
  <si>
    <t>Convênios</t>
  </si>
  <si>
    <t>AP, BA, CE, DF, ES, MG, PA, PE, RN, RS, SE, RR, GO, AM</t>
  </si>
  <si>
    <t>Programa de Aparelhamento - PROFOR</t>
  </si>
  <si>
    <t>CAMP-001</t>
  </si>
  <si>
    <t>Campanha Nacional de Fortalecimento das Ouvidorias de Serviços Penais</t>
  </si>
  <si>
    <t>Materiais gráficos</t>
  </si>
  <si>
    <t>Nacional</t>
  </si>
  <si>
    <t>Contratação de serviços de produção de materiais gráficos</t>
  </si>
  <si>
    <t>Custeio</t>
  </si>
  <si>
    <t>CURS-001</t>
  </si>
  <si>
    <t>Cursos ONASP</t>
  </si>
  <si>
    <t>Cursos</t>
  </si>
  <si>
    <t>ONASP</t>
  </si>
  <si>
    <t>Inscrições em cursos para servidores da ONASP</t>
  </si>
  <si>
    <t>CAPE-001</t>
  </si>
  <si>
    <t>Capacitação para os Estados</t>
  </si>
  <si>
    <t>Capacitação</t>
  </si>
  <si>
    <t>Contratação serviço de capacitação para os Estados</t>
  </si>
  <si>
    <t>PESS-001</t>
  </si>
  <si>
    <t>Pessoal</t>
  </si>
  <si>
    <t>Diárias</t>
  </si>
  <si>
    <t>-</t>
  </si>
  <si>
    <t>DICIONÁRIO DE CAMPOS</t>
  </si>
  <si>
    <t>Campo</t>
  </si>
  <si>
    <t>Tipo sugerido</t>
  </si>
  <si>
    <t>Descrição</t>
  </si>
  <si>
    <t>Regra de preenchimento</t>
  </si>
  <si>
    <t>Texto curto</t>
  </si>
  <si>
    <t>Identificador único do registro.</t>
  </si>
  <si>
    <t>Não repetir; use prefixo por frente/modalidade.</t>
  </si>
  <si>
    <t>Categoria</t>
  </si>
  <si>
    <t>Macrogrupo orçamentário.</t>
  </si>
  <si>
    <t>Selecionar uma das frentes cadastradas no plano.</t>
  </si>
  <si>
    <t>Subgrupo extraído da imagem ou definido para gestão.</t>
  </si>
  <si>
    <t>Manter granularidade suficiente para filtros.</t>
  </si>
  <si>
    <t>Tipo operacional do gasto.</t>
  </si>
  <si>
    <t>Usar lista controlada: Doação, Convênio, Contratação, Curso, Capacitação ou Diárias.</t>
  </si>
  <si>
    <t>Texto</t>
  </si>
  <si>
    <t>Estados ou abrangência institucional.</t>
  </si>
  <si>
    <t>Usar siglas separadas por vírgula; se não informado, registrar “Não informado na imagem”.</t>
  </si>
  <si>
    <t>Descrição objetiva do gasto.</t>
  </si>
  <si>
    <t>Evitar textos muito longos; detalhar em Observações quando necessário.</t>
  </si>
  <si>
    <t>Classificação orçamentária: Capital ou Custeio.</t>
  </si>
  <si>
    <t>Usar lista controlada.</t>
  </si>
  <si>
    <t>Número</t>
  </si>
  <si>
    <t>Quantidade informada para o item.</t>
  </si>
  <si>
    <t>Deixar em branco se a imagem não informar.</t>
  </si>
  <si>
    <t>Unidade de medida.</t>
  </si>
  <si>
    <t>Usar “un” para unidade ou “-” quando não aplicável.</t>
  </si>
  <si>
    <t>Moeda</t>
  </si>
  <si>
    <t>Valor total planejado por item.</t>
  </si>
  <si>
    <t>Registrar como número, não como texto.</t>
  </si>
  <si>
    <t>Moeda calculada</t>
  </si>
  <si>
    <t>Valor total dividido pela quantidade.</t>
  </si>
  <si>
    <t>Calculado por fórmula quando houver quantidade.</t>
  </si>
  <si>
    <t>Origem do dado.</t>
  </si>
  <si>
    <t>Registrar imagem, documento, processo SEI, planilha ou link de origem.</t>
  </si>
  <si>
    <t>Notas de qualidade, abreviações, lacunas ou premissas.</t>
  </si>
  <si>
    <t>Usar para explicar lacunas e preservar rastreabilidade.</t>
  </si>
  <si>
    <t>Situação gerencial do registro.</t>
  </si>
  <si>
    <t>Usar lista controlada para acompanhamento.</t>
  </si>
  <si>
    <t>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</si>
</sst>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name val="Carlito"/>
    </font>
    <font>
      <b/>
      <sz val="16"/>
      <color rgb="FF1F3763"/>
      <name val="Aptos"/>
    </font>
    <font>
      <b/>
      <sz val="10"/>
      <color rgb="FF1F3763"/>
      <name val="Aptos"/>
    </font>
    <font>
      <sz val="10"/>
      <color rgb="FF111827"/>
      <name val="Aptos"/>
    </font>
    <font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EAF0FF"/>
      </patternFill>
    </fill>
    <fill>
      <patternFill patternType="solid">
        <fgColor rgb="FFD9E6FF"/>
      </patternFill>
    </fill>
  </fills>
  <borders count="13">
    <border>
      <left/>
      <right/>
      <top/>
      <bottom/>
      <diagonal/>
    </border>
    <border>
      <left style="thin">
        <color rgb="FFB7C7E6"/>
      </left>
      <right/>
      <top style="thin">
        <color rgb="FFB7C7E6"/>
      </top>
      <bottom style="thin">
        <color rgb="FFB7C7E6"/>
      </bottom>
      <diagonal/>
    </border>
    <border>
      <left/>
      <right/>
      <top style="thin">
        <color rgb="FFB7C7E6"/>
      </top>
      <bottom style="thin">
        <color rgb="FFB7C7E6"/>
      </bottom>
      <diagonal/>
    </border>
    <border>
      <left/>
      <right style="thin">
        <color rgb="FFB7C7E6"/>
      </right>
      <top style="thin">
        <color rgb="FFB7C7E6"/>
      </top>
      <bottom style="thin">
        <color rgb="FFB7C7E6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 wrapText="1"/>
    </xf>
    <xf numFmtId="164" fontId="3" fillId="0" borderId="8" xfId="0" applyNumberFormat="1" applyFont="1" applyBorder="1" applyAlignment="1">
      <alignment vertical="center" wrapText="1"/>
    </xf>
    <xf numFmtId="164" fontId="3" fillId="0" borderId="11" xfId="0" applyNumberFormat="1" applyFont="1" applyBorder="1" applyAlignment="1">
      <alignment vertical="center" wrapText="1"/>
    </xf>
    <xf numFmtId="1" fontId="3" fillId="0" borderId="5" xfId="0" applyNumberFormat="1" applyFont="1" applyBorder="1" applyAlignment="1">
      <alignment vertical="center" wrapText="1"/>
    </xf>
    <xf numFmtId="1" fontId="3" fillId="0" borderId="8" xfId="0" applyNumberFormat="1" applyFont="1" applyBorder="1" applyAlignment="1">
      <alignment vertical="center" wrapText="1"/>
    </xf>
    <xf numFmtId="1" fontId="3" fillId="0" borderId="11" xfId="0" applyNumberFormat="1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4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Apto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Apto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Apto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orcamento_onasp" displayName="tb_orcamento_onasp" ref="A1:K11">
  <tableColumns count="11">
    <tableColumn id="1" xr3:uid="{00000000-0010-0000-0000-000001000000}" name="ID"/>
    <tableColumn id="2" xr3:uid="{00000000-0010-0000-0000-000002000000}" name="Frente"/>
    <tableColumn id="15" xr3:uid="{D914D5DF-272E-4DC3-A6F6-335470FE0AB3}" name="Itens" dataDxfId="1"/>
    <tableColumn id="16" xr3:uid="{6A41EEBC-C904-4DFD-ADDC-3498EB40FBF3}" name="Natureza" dataDxfId="0"/>
    <tableColumn id="4" xr3:uid="{00000000-0010-0000-0000-000004000000}" name="Modalidade" dataDxfId="2"/>
    <tableColumn id="5" xr3:uid="{00000000-0010-0000-0000-000005000000}" name="UFs/Abrangência"/>
    <tableColumn id="8" xr3:uid="{00000000-0010-0000-0000-000008000000}" name="Quantidade"/>
    <tableColumn id="9" xr3:uid="{00000000-0010-0000-0000-000009000000}" name="Unidade"/>
    <tableColumn id="10" xr3:uid="{00000000-0010-0000-0000-00000A000000}" name="Valor Total (R$)"/>
    <tableColumn id="11" xr3:uid="{00000000-0010-0000-0000-00000B000000}" name="Valor Unitário (R$)"/>
    <tableColumn id="14" xr3:uid="{00000000-0010-0000-0000-00000E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7"/>
  <sheetViews>
    <sheetView tabSelected="1" workbookViewId="0">
      <selection activeCell="F13" sqref="F13"/>
    </sheetView>
  </sheetViews>
  <sheetFormatPr defaultRowHeight="14.4" x14ac:dyDescent="0.3"/>
  <cols>
    <col min="1" max="1" width="11.5546875" customWidth="1"/>
    <col min="2" max="4" width="37.88671875" customWidth="1"/>
    <col min="5" max="5" width="16.44140625" customWidth="1"/>
    <col min="6" max="6" width="37.88671875" customWidth="1"/>
    <col min="7" max="7" width="12.109375" customWidth="1"/>
    <col min="8" max="8" width="10" customWidth="1"/>
    <col min="9" max="10" width="18.5546875" customWidth="1"/>
    <col min="11" max="11" width="13.5546875" customWidth="1"/>
  </cols>
  <sheetData>
    <row r="1" spans="1:23" ht="20.399999999999999" customHeight="1" x14ac:dyDescent="0.3">
      <c r="A1" s="1" t="s">
        <v>0</v>
      </c>
      <c r="B1" s="2" t="s">
        <v>1</v>
      </c>
      <c r="C1" s="2" t="s">
        <v>91</v>
      </c>
      <c r="D1" s="2" t="s">
        <v>6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13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18" customHeight="1" x14ac:dyDescent="0.3">
      <c r="A2" s="4" t="s">
        <v>14</v>
      </c>
      <c r="B2" s="5" t="s">
        <v>15</v>
      </c>
      <c r="C2" s="5" t="s">
        <v>17</v>
      </c>
      <c r="D2" s="5" t="s">
        <v>18</v>
      </c>
      <c r="E2" s="5" t="s">
        <v>16</v>
      </c>
      <c r="F2" s="8" t="s">
        <v>36</v>
      </c>
      <c r="G2" s="16">
        <v>8</v>
      </c>
      <c r="H2" s="5" t="s">
        <v>19</v>
      </c>
      <c r="I2" s="13">
        <v>1700000</v>
      </c>
      <c r="J2" s="13">
        <f t="shared" ref="J2:J11" si="0">IF(G2&gt;0,I2/G2,"")</f>
        <v>212500</v>
      </c>
      <c r="K2" s="6" t="s">
        <v>20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18" customHeight="1" x14ac:dyDescent="0.3">
      <c r="A3" s="7" t="s">
        <v>21</v>
      </c>
      <c r="B3" s="8" t="s">
        <v>15</v>
      </c>
      <c r="C3" s="8" t="s">
        <v>22</v>
      </c>
      <c r="D3" s="8" t="s">
        <v>18</v>
      </c>
      <c r="E3" s="8" t="s">
        <v>16</v>
      </c>
      <c r="F3" s="8" t="s">
        <v>36</v>
      </c>
      <c r="G3" s="17">
        <v>54</v>
      </c>
      <c r="H3" s="8" t="s">
        <v>19</v>
      </c>
      <c r="I3" s="14">
        <v>130000</v>
      </c>
      <c r="J3" s="14">
        <f t="shared" si="0"/>
        <v>2407.4074074074074</v>
      </c>
      <c r="K3" s="9" t="s">
        <v>20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1:23" ht="18" customHeight="1" x14ac:dyDescent="0.3">
      <c r="A4" s="7" t="s">
        <v>23</v>
      </c>
      <c r="B4" s="8" t="s">
        <v>15</v>
      </c>
      <c r="C4" s="8" t="s">
        <v>24</v>
      </c>
      <c r="D4" s="8" t="s">
        <v>18</v>
      </c>
      <c r="E4" s="8" t="s">
        <v>16</v>
      </c>
      <c r="F4" s="8" t="s">
        <v>36</v>
      </c>
      <c r="G4" s="17">
        <v>54</v>
      </c>
      <c r="H4" s="8" t="s">
        <v>19</v>
      </c>
      <c r="I4" s="14">
        <v>150000</v>
      </c>
      <c r="J4" s="14">
        <f t="shared" si="0"/>
        <v>2777.7777777777778</v>
      </c>
      <c r="K4" s="9" t="s">
        <v>20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18" customHeight="1" x14ac:dyDescent="0.3">
      <c r="A5" s="7" t="s">
        <v>25</v>
      </c>
      <c r="B5" s="8" t="s">
        <v>15</v>
      </c>
      <c r="C5" s="8" t="s">
        <v>26</v>
      </c>
      <c r="D5" s="8" t="s">
        <v>18</v>
      </c>
      <c r="E5" s="8" t="s">
        <v>16</v>
      </c>
      <c r="F5" s="8" t="s">
        <v>36</v>
      </c>
      <c r="G5" s="17">
        <v>60</v>
      </c>
      <c r="H5" s="8" t="s">
        <v>19</v>
      </c>
      <c r="I5" s="14">
        <v>300000</v>
      </c>
      <c r="J5" s="14">
        <f t="shared" si="0"/>
        <v>5000</v>
      </c>
      <c r="K5" s="9" t="s">
        <v>20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23" ht="18" customHeight="1" x14ac:dyDescent="0.3">
      <c r="A6" s="7" t="s">
        <v>27</v>
      </c>
      <c r="B6" s="8" t="s">
        <v>15</v>
      </c>
      <c r="C6" s="8" t="s">
        <v>28</v>
      </c>
      <c r="D6" s="8" t="s">
        <v>18</v>
      </c>
      <c r="E6" s="8" t="s">
        <v>16</v>
      </c>
      <c r="F6" s="8" t="s">
        <v>36</v>
      </c>
      <c r="G6" s="17">
        <v>30</v>
      </c>
      <c r="H6" s="8" t="s">
        <v>19</v>
      </c>
      <c r="I6" s="14">
        <v>543875</v>
      </c>
      <c r="J6" s="14">
        <f t="shared" si="0"/>
        <v>18129.166666666668</v>
      </c>
      <c r="K6" s="9" t="s">
        <v>20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23" ht="27.6" x14ac:dyDescent="0.3">
      <c r="A7" s="7" t="s">
        <v>29</v>
      </c>
      <c r="B7" s="8" t="s">
        <v>15</v>
      </c>
      <c r="C7" s="8" t="s">
        <v>32</v>
      </c>
      <c r="D7" s="8" t="s">
        <v>18</v>
      </c>
      <c r="E7" s="8" t="s">
        <v>30</v>
      </c>
      <c r="F7" s="8" t="s">
        <v>31</v>
      </c>
      <c r="G7" s="17">
        <v>14</v>
      </c>
      <c r="H7" s="8" t="s">
        <v>19</v>
      </c>
      <c r="I7" s="14">
        <v>2800000</v>
      </c>
      <c r="J7" s="14">
        <f t="shared" si="0"/>
        <v>200000</v>
      </c>
      <c r="K7" s="9" t="s">
        <v>20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pans="1:23" ht="27.6" x14ac:dyDescent="0.3">
      <c r="A8" s="7" t="s">
        <v>33</v>
      </c>
      <c r="B8" s="8" t="s">
        <v>34</v>
      </c>
      <c r="C8" s="8" t="s">
        <v>37</v>
      </c>
      <c r="D8" s="8" t="s">
        <v>38</v>
      </c>
      <c r="E8" s="8" t="s">
        <v>35</v>
      </c>
      <c r="F8" s="8" t="s">
        <v>36</v>
      </c>
      <c r="G8" s="17">
        <v>1</v>
      </c>
      <c r="H8" s="8" t="s">
        <v>19</v>
      </c>
      <c r="I8" s="14">
        <v>300000</v>
      </c>
      <c r="J8" s="14">
        <f t="shared" si="0"/>
        <v>300000</v>
      </c>
      <c r="K8" s="9" t="s">
        <v>20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spans="1:23" ht="27.6" x14ac:dyDescent="0.3">
      <c r="A9" s="7" t="s">
        <v>39</v>
      </c>
      <c r="B9" s="8" t="s">
        <v>40</v>
      </c>
      <c r="C9" s="8" t="s">
        <v>43</v>
      </c>
      <c r="D9" s="8" t="s">
        <v>38</v>
      </c>
      <c r="E9" s="8" t="s">
        <v>41</v>
      </c>
      <c r="F9" s="8" t="s">
        <v>42</v>
      </c>
      <c r="G9" s="17">
        <v>12</v>
      </c>
      <c r="H9" s="8" t="s">
        <v>19</v>
      </c>
      <c r="I9" s="14">
        <v>60000</v>
      </c>
      <c r="J9" s="14">
        <f t="shared" si="0"/>
        <v>5000</v>
      </c>
      <c r="K9" s="9" t="s">
        <v>20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 ht="27.6" x14ac:dyDescent="0.3">
      <c r="A10" s="7" t="s">
        <v>44</v>
      </c>
      <c r="B10" s="8" t="s">
        <v>45</v>
      </c>
      <c r="C10" s="8" t="s">
        <v>47</v>
      </c>
      <c r="D10" s="8" t="s">
        <v>38</v>
      </c>
      <c r="E10" s="8" t="s">
        <v>46</v>
      </c>
      <c r="F10" s="8" t="s">
        <v>36</v>
      </c>
      <c r="G10" s="17">
        <v>50</v>
      </c>
      <c r="H10" s="8" t="s">
        <v>19</v>
      </c>
      <c r="I10" s="14">
        <v>250000</v>
      </c>
      <c r="J10" s="14">
        <f t="shared" si="0"/>
        <v>5000</v>
      </c>
      <c r="K10" s="9" t="s">
        <v>20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 ht="18" customHeight="1" x14ac:dyDescent="0.3">
      <c r="A11" s="10" t="s">
        <v>48</v>
      </c>
      <c r="B11" s="11" t="s">
        <v>49</v>
      </c>
      <c r="C11" s="11" t="s">
        <v>50</v>
      </c>
      <c r="D11" s="11" t="s">
        <v>38</v>
      </c>
      <c r="E11" s="11" t="s">
        <v>50</v>
      </c>
      <c r="F11" s="11" t="s">
        <v>42</v>
      </c>
      <c r="G11" s="18"/>
      <c r="H11" s="11" t="s">
        <v>51</v>
      </c>
      <c r="I11" s="15">
        <v>766125</v>
      </c>
      <c r="J11" s="15" t="str">
        <f t="shared" si="0"/>
        <v/>
      </c>
      <c r="K11" s="12" t="s">
        <v>20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1:23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3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23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spans="1:23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1:23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pans="1:23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spans="1:23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spans="1:23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spans="1:23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spans="1:23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spans="1:23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spans="1:23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1:23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spans="1:23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pans="1:23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spans="1:23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spans="1:23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spans="1:23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pans="1:23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spans="1:23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spans="1:23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spans="1:23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pans="1:23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spans="1:23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:23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pans="1:23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:23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spans="1:23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spans="1:23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spans="1:23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23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spans="1:23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spans="1:23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spans="1:23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spans="1:23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pans="1:23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spans="1:23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pans="1:23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spans="1:23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spans="1:23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spans="1:23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spans="1:23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spans="1:23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spans="1:23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spans="1:23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spans="1:23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spans="1:23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spans="1:23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spans="1:23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spans="1:23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spans="1:23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spans="1:23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spans="1:23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spans="1:23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spans="1:23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spans="1:23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spans="1:23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spans="1:23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spans="1:23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spans="1:23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spans="1:23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spans="1:23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spans="1:23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spans="1:23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spans="1:23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spans="1:23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spans="1:23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spans="1:23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spans="1:23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spans="1:23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spans="1:23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spans="1:23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spans="1:23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spans="1:23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spans="1:23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spans="1:23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spans="1:23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spans="1:23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spans="1:23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spans="1:23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spans="1:23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spans="1:23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spans="1:23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spans="1:23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spans="1:23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spans="1:23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spans="1:23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spans="1:23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spans="1:23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spans="1:23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</sheetData>
  <dataValidations count="4">
    <dataValidation type="list" allowBlank="1" sqref="E12:E97" xr:uid="{00000000-0002-0000-0000-000000000000}">
      <formula1>"Doação,Convênio,Contratação,Curso,Capacitação,Diárias"</formula1>
    </dataValidation>
    <dataValidation type="list" allowBlank="1" sqref="H2:H97" xr:uid="{00000000-0002-0000-0000-000002000000}">
      <formula1>"un,-"</formula1>
    </dataValidation>
    <dataValidation type="list" allowBlank="1" sqref="K2:K97" xr:uid="{00000000-0002-0000-0000-000003000000}">
      <formula1>"Planejado,Em execução,Concluído,A revisar"</formula1>
    </dataValidation>
    <dataValidation type="list" allowBlank="1" sqref="D2:D11" xr:uid="{00000000-0002-0000-0000-000001000000}">
      <formula1>"Capital,Custeio"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0"/>
  <sheetViews>
    <sheetView workbookViewId="0"/>
  </sheetViews>
  <sheetFormatPr defaultRowHeight="14.4" x14ac:dyDescent="0.3"/>
  <cols>
    <col min="1" max="1" width="20.6640625" customWidth="1"/>
    <col min="2" max="2" width="17.109375" customWidth="1"/>
    <col min="3" max="3" width="55" customWidth="1"/>
    <col min="4" max="4" width="59.33203125" customWidth="1"/>
  </cols>
  <sheetData>
    <row r="1" spans="1:26" ht="21" x14ac:dyDescent="0.3">
      <c r="A1" s="19" t="s">
        <v>52</v>
      </c>
      <c r="B1" s="19"/>
      <c r="C1" s="19"/>
      <c r="D1" s="19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3">
      <c r="A3" s="1" t="s">
        <v>53</v>
      </c>
      <c r="B3" s="2" t="s">
        <v>54</v>
      </c>
      <c r="C3" s="2" t="s">
        <v>55</v>
      </c>
      <c r="D3" s="3" t="s">
        <v>56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5.2" customHeight="1" x14ac:dyDescent="0.3">
      <c r="A4" s="4" t="s">
        <v>0</v>
      </c>
      <c r="B4" s="5" t="s">
        <v>57</v>
      </c>
      <c r="C4" s="5" t="s">
        <v>58</v>
      </c>
      <c r="D4" s="6" t="s">
        <v>59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25.2" customHeight="1" x14ac:dyDescent="0.3">
      <c r="A5" s="7" t="s">
        <v>1</v>
      </c>
      <c r="B5" s="8" t="s">
        <v>60</v>
      </c>
      <c r="C5" s="8" t="s">
        <v>61</v>
      </c>
      <c r="D5" s="9" t="s">
        <v>62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5.2" customHeight="1" x14ac:dyDescent="0.3">
      <c r="A6" s="7" t="s">
        <v>2</v>
      </c>
      <c r="B6" s="8" t="s">
        <v>60</v>
      </c>
      <c r="C6" s="8" t="s">
        <v>63</v>
      </c>
      <c r="D6" s="9" t="s">
        <v>64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25.2" customHeight="1" x14ac:dyDescent="0.3">
      <c r="A7" s="7" t="s">
        <v>3</v>
      </c>
      <c r="B7" s="8" t="s">
        <v>60</v>
      </c>
      <c r="C7" s="8" t="s">
        <v>65</v>
      </c>
      <c r="D7" s="9" t="s">
        <v>66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5.2" customHeight="1" x14ac:dyDescent="0.3">
      <c r="A8" s="7" t="s">
        <v>4</v>
      </c>
      <c r="B8" s="8" t="s">
        <v>67</v>
      </c>
      <c r="C8" s="8" t="s">
        <v>68</v>
      </c>
      <c r="D8" s="9" t="s">
        <v>69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5.2" customHeight="1" x14ac:dyDescent="0.3">
      <c r="A9" s="7" t="s">
        <v>5</v>
      </c>
      <c r="B9" s="8" t="s">
        <v>67</v>
      </c>
      <c r="C9" s="8" t="s">
        <v>70</v>
      </c>
      <c r="D9" s="9" t="s">
        <v>71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5.2" customHeight="1" x14ac:dyDescent="0.3">
      <c r="A10" s="7" t="s">
        <v>6</v>
      </c>
      <c r="B10" s="8" t="s">
        <v>60</v>
      </c>
      <c r="C10" s="8" t="s">
        <v>72</v>
      </c>
      <c r="D10" s="9" t="s">
        <v>73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5.2" customHeight="1" x14ac:dyDescent="0.3">
      <c r="A11" s="7" t="s">
        <v>7</v>
      </c>
      <c r="B11" s="8" t="s">
        <v>74</v>
      </c>
      <c r="C11" s="8" t="s">
        <v>75</v>
      </c>
      <c r="D11" s="9" t="s">
        <v>76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25.2" customHeight="1" x14ac:dyDescent="0.3">
      <c r="A12" s="7" t="s">
        <v>8</v>
      </c>
      <c r="B12" s="8" t="s">
        <v>60</v>
      </c>
      <c r="C12" s="8" t="s">
        <v>77</v>
      </c>
      <c r="D12" s="9" t="s">
        <v>78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5.2" customHeight="1" x14ac:dyDescent="0.3">
      <c r="A13" s="7" t="s">
        <v>9</v>
      </c>
      <c r="B13" s="8" t="s">
        <v>79</v>
      </c>
      <c r="C13" s="8" t="s">
        <v>80</v>
      </c>
      <c r="D13" s="9" t="s">
        <v>81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5.2" customHeight="1" x14ac:dyDescent="0.3">
      <c r="A14" s="7" t="s">
        <v>10</v>
      </c>
      <c r="B14" s="8" t="s">
        <v>82</v>
      </c>
      <c r="C14" s="8" t="s">
        <v>83</v>
      </c>
      <c r="D14" s="9" t="s">
        <v>84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25.2" customHeight="1" x14ac:dyDescent="0.3">
      <c r="A15" s="7" t="s">
        <v>11</v>
      </c>
      <c r="B15" s="8" t="s">
        <v>67</v>
      </c>
      <c r="C15" s="8" t="s">
        <v>85</v>
      </c>
      <c r="D15" s="9" t="s">
        <v>86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5.2" customHeight="1" x14ac:dyDescent="0.3">
      <c r="A16" s="7" t="s">
        <v>12</v>
      </c>
      <c r="B16" s="8" t="s">
        <v>67</v>
      </c>
      <c r="C16" s="8" t="s">
        <v>87</v>
      </c>
      <c r="D16" s="9" t="s">
        <v>88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5.2" customHeight="1" x14ac:dyDescent="0.3">
      <c r="A17" s="10" t="s">
        <v>13</v>
      </c>
      <c r="B17" s="11" t="s">
        <v>60</v>
      </c>
      <c r="C17" s="11" t="s">
        <v>89</v>
      </c>
      <c r="D17" s="12" t="s">
        <v>90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Base_Dados</vt:lpstr>
      <vt:lpstr>Dicionario_Campos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Rocha Cortez</cp:lastModifiedBy>
  <dcterms:modified xsi:type="dcterms:W3CDTF">2026-04-29T17:00:50Z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2026-04-29T14:01:24Z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c17aa724-7d49-4834-9b53-9fc13cca6eb2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