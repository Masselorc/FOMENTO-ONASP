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justicagovbr-my.sharepoint.com/personal/marcelo_cortez_mj_gov_br1/Documents/1. SENAPPEN/2. OUVIDORIA/GITHUB/FOMENTO-ONASP/FOMENTO-ONASP/"/>
    </mc:Choice>
  </mc:AlternateContent>
  <xr:revisionPtr revIDLastSave="82" documentId="13_ncr:1_{F20D0DE5-6B18-4F7F-97E9-7D6B0EAC69D7}" xr6:coauthVersionLast="47" xr6:coauthVersionMax="47" xr10:uidLastSave="{7C9A33D6-8728-433D-BC04-4830CE6EF17E}"/>
  <bookViews>
    <workbookView xWindow="-108" yWindow="-108" windowWidth="23256" windowHeight="12456" xr2:uid="{00000000-000D-0000-FFFF-FFFF00000000}"/>
  </bookViews>
  <sheets>
    <sheet name="Base_Dados" sheetId="1" r:id="rId1"/>
    <sheet name="Dicionario_Campos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1" i="1" l="1"/>
  <c r="J10" i="1"/>
  <c r="J9" i="1"/>
  <c r="J8" i="1"/>
  <c r="J7" i="1"/>
  <c r="J6" i="1"/>
  <c r="J5" i="1"/>
  <c r="J4" i="1"/>
  <c r="J3" i="1"/>
  <c r="J2" i="1"/>
</calcChain>
</file>

<file path=xl/sharedStrings.xml><?xml version="1.0" encoding="utf-8"?>
<sst xmlns="http://schemas.openxmlformats.org/spreadsheetml/2006/main" count="170" uniqueCount="107">
  <si>
    <t>ID</t>
  </si>
  <si>
    <t>Frente</t>
  </si>
  <si>
    <t>Grupo</t>
  </si>
  <si>
    <t>Modalidade</t>
  </si>
  <si>
    <t>UFs/Abrangência</t>
  </si>
  <si>
    <t>Item</t>
  </si>
  <si>
    <t>Natureza</t>
  </si>
  <si>
    <t>Quantidade</t>
  </si>
  <si>
    <t>Unidade</t>
  </si>
  <si>
    <t>Valor Total (R$)</t>
  </si>
  <si>
    <t>Valor Unitário (R$)</t>
  </si>
  <si>
    <t>Fonte</t>
  </si>
  <si>
    <t>Observações</t>
  </si>
  <si>
    <t>Status</t>
  </si>
  <si>
    <t>APON-001</t>
  </si>
  <si>
    <t>Aparelhamento de Ouvidorias Estaduais</t>
  </si>
  <si>
    <t>Doações</t>
  </si>
  <si>
    <t>Aquisição de veículos</t>
  </si>
  <si>
    <t>Capital</t>
  </si>
  <si>
    <t>un</t>
  </si>
  <si>
    <t>Planejado</t>
  </si>
  <si>
    <t>APON-002</t>
  </si>
  <si>
    <t>Aquisição de Scanners</t>
  </si>
  <si>
    <t>APON-003</t>
  </si>
  <si>
    <t>Aquisição de câmeras fotográficas</t>
  </si>
  <si>
    <t>APON-004</t>
  </si>
  <si>
    <t>Aquisição de Notebooks</t>
  </si>
  <si>
    <t>APON-005</t>
  </si>
  <si>
    <t>Kits para Leitura de Cartas</t>
  </si>
  <si>
    <t>CONV-001</t>
  </si>
  <si>
    <t>Convênios</t>
  </si>
  <si>
    <t>AP, BA, CE, DF, ES, MG, PA, PE, RN, RS, SE, RR, GO, AM</t>
  </si>
  <si>
    <t>Programa de Aparelhamento - PROFOR</t>
  </si>
  <si>
    <t>CAMP-001</t>
  </si>
  <si>
    <t>Campanha Nacional de Fortalecimento das Ouvidorias de Serviços Penais</t>
  </si>
  <si>
    <t>Materiais gráficos</t>
  </si>
  <si>
    <t>Nacional</t>
  </si>
  <si>
    <t>Contratação de serviços de produção de materiais gráficos</t>
  </si>
  <si>
    <t>Custeio</t>
  </si>
  <si>
    <t>CURS-001</t>
  </si>
  <si>
    <t>Cursos ONASP</t>
  </si>
  <si>
    <t>Cursos</t>
  </si>
  <si>
    <t>ONASP</t>
  </si>
  <si>
    <t>Inscrições em cursos para servidores da ONASP</t>
  </si>
  <si>
    <t>CAPE-001</t>
  </si>
  <si>
    <t>Capacitação para os Estados</t>
  </si>
  <si>
    <t>Capacitação</t>
  </si>
  <si>
    <t>Contratação serviço de capacitação para os Estados</t>
  </si>
  <si>
    <t>PESS-001</t>
  </si>
  <si>
    <t>Pessoal</t>
  </si>
  <si>
    <t>Diárias</t>
  </si>
  <si>
    <t>-</t>
  </si>
  <si>
    <t>DICIONÁRIO DE CAMPOS</t>
  </si>
  <si>
    <t>Campo</t>
  </si>
  <si>
    <t>Tipo sugerido</t>
  </si>
  <si>
    <t>Descrição</t>
  </si>
  <si>
    <t>Regra de preenchimento</t>
  </si>
  <si>
    <t>Texto curto</t>
  </si>
  <si>
    <t>Identificador único do registro.</t>
  </si>
  <si>
    <t>Não repetir; use prefixo por frente/modalidade.</t>
  </si>
  <si>
    <t>Categoria</t>
  </si>
  <si>
    <t>Macrogrupo orçamentário.</t>
  </si>
  <si>
    <t>Selecionar uma das frentes cadastradas no plano.</t>
  </si>
  <si>
    <t>Subgrupo extraído da imagem ou definido para gestão.</t>
  </si>
  <si>
    <t>Manter granularidade suficiente para filtros.</t>
  </si>
  <si>
    <t>Tipo operacional do gasto.</t>
  </si>
  <si>
    <t>Usar lista controlada: Doação, Convênio, Contratação, Curso, Capacitação ou Diárias.</t>
  </si>
  <si>
    <t>Texto</t>
  </si>
  <si>
    <t>Estados ou abrangência institucional.</t>
  </si>
  <si>
    <t>Usar siglas separadas por vírgula; se não informado, registrar “Não informado na imagem”.</t>
  </si>
  <si>
    <t>Descrição objetiva do gasto.</t>
  </si>
  <si>
    <t>Evitar textos muito longos; detalhar em Observações quando necessário.</t>
  </si>
  <si>
    <t>Classificação orçamentária: Capital ou Custeio.</t>
  </si>
  <si>
    <t>Usar lista controlada.</t>
  </si>
  <si>
    <t>Número</t>
  </si>
  <si>
    <t>Quantidade informada para o item.</t>
  </si>
  <si>
    <t>Deixar em branco se a imagem não informar.</t>
  </si>
  <si>
    <t>Unidade de medida.</t>
  </si>
  <si>
    <t>Usar “un” para unidade ou “-” quando não aplicável.</t>
  </si>
  <si>
    <t>Moeda</t>
  </si>
  <si>
    <t>Valor total planejado por item.</t>
  </si>
  <si>
    <t>Registrar como número, não como texto.</t>
  </si>
  <si>
    <t>Moeda calculada</t>
  </si>
  <si>
    <t>Valor total dividido pela quantidade.</t>
  </si>
  <si>
    <t>Calculado por fórmula quando houver quantidade.</t>
  </si>
  <si>
    <t>Origem do dado.</t>
  </si>
  <si>
    <t>Registrar imagem, documento, processo SEI, planilha ou link de origem.</t>
  </si>
  <si>
    <t>Notas de qualidade, abreviações, lacunas ou premissas.</t>
  </si>
  <si>
    <t>Usar para explicar lacunas e preservar rastreabilidade.</t>
  </si>
  <si>
    <t>Situação gerencial do registro.</t>
  </si>
  <si>
    <t>Usar lista controlada para acompanhamento.</t>
  </si>
  <si>
    <t>Itens</t>
  </si>
  <si>
    <t>Processo SEI</t>
  </si>
  <si>
    <t>08016.004858/2026-23</t>
  </si>
  <si>
    <t>Link do Processo SEI</t>
  </si>
  <si>
    <t>https://sei.mj.gov.br/sei/controlador.php?acao=procedimento_trabalhar&amp;id_procedimento=39457500</t>
  </si>
  <si>
    <t>08016.009541/2026-83</t>
  </si>
  <si>
    <t>https://sei.mj.gov.br/sei/controlador.php?acao=procedimento_trabalhar&amp;id_procedimento=40118887</t>
  </si>
  <si>
    <t>08016.003997/2026-30</t>
  </si>
  <si>
    <t>https://sei.mj.gov.br/sei/controlador.php?acao=procedimento_trabalhar&amp;id_procedimento=39355451</t>
  </si>
  <si>
    <t>Em execução</t>
  </si>
  <si>
    <t>Empenho</t>
  </si>
  <si>
    <t>Link do Empenho</t>
  </si>
  <si>
    <t>Ordem Bancária</t>
  </si>
  <si>
    <t>Link Ordem Bancária</t>
  </si>
  <si>
    <t>08016.010062/2026-18</t>
  </si>
  <si>
    <t>https://sei.mj.gov.br/sei/controlador.php?acao=procedimento_trabalhar&amp;id_procedimento=40199139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</si>
</sst>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R\$\ #,##0.00"/>
  </numFmts>
  <fonts count="7" x14ac:knownFonts="1">
    <font>
      <sz val="11"/>
      <name val="Carlito"/>
    </font>
    <font>
      <b/>
      <sz val="16"/>
      <color rgb="FF1F3763"/>
      <name val="Aptos"/>
    </font>
    <font>
      <b/>
      <sz val="10"/>
      <color rgb="FF1F3763"/>
      <name val="Aptos"/>
    </font>
    <font>
      <sz val="10"/>
      <color rgb="FF111827"/>
      <name val="Aptos"/>
    </font>
    <font>
      <sz val="11"/>
      <name val="Aptos"/>
    </font>
    <font>
      <u/>
      <sz val="11"/>
      <color theme="10"/>
      <name val="Carlito"/>
    </font>
    <font>
      <sz val="10"/>
      <color rgb="FF1F3763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rgb="FFEAF0FF"/>
      </patternFill>
    </fill>
    <fill>
      <patternFill patternType="solid">
        <fgColor rgb="FFD9E6FF"/>
      </patternFill>
    </fill>
  </fills>
  <borders count="13">
    <border>
      <left/>
      <right/>
      <top/>
      <bottom/>
      <diagonal/>
    </border>
    <border>
      <left style="thin">
        <color rgb="FFB7C7E6"/>
      </left>
      <right/>
      <top style="thin">
        <color rgb="FFB7C7E6"/>
      </top>
      <bottom style="thin">
        <color rgb="FFB7C7E6"/>
      </bottom>
      <diagonal/>
    </border>
    <border>
      <left/>
      <right/>
      <top style="thin">
        <color rgb="FFB7C7E6"/>
      </top>
      <bottom style="thin">
        <color rgb="FFB7C7E6"/>
      </bottom>
      <diagonal/>
    </border>
    <border>
      <left/>
      <right style="thin">
        <color rgb="FFB7C7E6"/>
      </right>
      <top style="thin">
        <color rgb="FFB7C7E6"/>
      </top>
      <bottom style="thin">
        <color rgb="FFB7C7E6"/>
      </bottom>
      <diagonal/>
    </border>
    <border>
      <left/>
      <right style="thin">
        <color rgb="FFE5E7EB"/>
      </right>
      <top/>
      <bottom style="thin">
        <color rgb="FFE5E7EB"/>
      </bottom>
      <diagonal/>
    </border>
    <border>
      <left style="thin">
        <color rgb="FFE5E7EB"/>
      </left>
      <right style="thin">
        <color rgb="FFE5E7EB"/>
      </right>
      <top/>
      <bottom style="thin">
        <color rgb="FFE5E7EB"/>
      </bottom>
      <diagonal/>
    </border>
    <border>
      <left style="thin">
        <color rgb="FFE5E7EB"/>
      </left>
      <right/>
      <top/>
      <bottom style="thin">
        <color rgb="FFE5E7EB"/>
      </bottom>
      <diagonal/>
    </border>
    <border>
      <left/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/>
      <top style="thin">
        <color rgb="FFE5E7EB"/>
      </top>
      <bottom style="thin">
        <color rgb="FFE5E7EB"/>
      </bottom>
      <diagonal/>
    </border>
    <border>
      <left/>
      <right style="thin">
        <color rgb="FFE5E7EB"/>
      </right>
      <top style="thin">
        <color rgb="FFE5E7EB"/>
      </top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/>
      <diagonal/>
    </border>
    <border>
      <left style="thin">
        <color rgb="FFE5E7EB"/>
      </left>
      <right/>
      <top style="thin">
        <color rgb="FFE5E7EB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4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vertical="center" wrapText="1"/>
    </xf>
    <xf numFmtId="0" fontId="3" fillId="0" borderId="5" xfId="0" applyFont="1" applyBorder="1" applyAlignment="1">
      <alignment vertical="center" wrapText="1"/>
    </xf>
    <xf numFmtId="0" fontId="3" fillId="0" borderId="6" xfId="0" applyFont="1" applyBorder="1" applyAlignment="1">
      <alignment vertical="center" wrapText="1"/>
    </xf>
    <xf numFmtId="0" fontId="3" fillId="0" borderId="7" xfId="0" applyFont="1" applyBorder="1" applyAlignment="1">
      <alignment vertical="center" wrapText="1"/>
    </xf>
    <xf numFmtId="0" fontId="3" fillId="0" borderId="8" xfId="0" applyFont="1" applyBorder="1" applyAlignment="1">
      <alignment vertical="center" wrapText="1"/>
    </xf>
    <xf numFmtId="0" fontId="3" fillId="0" borderId="9" xfId="0" applyFont="1" applyBorder="1" applyAlignment="1">
      <alignment vertical="center" wrapText="1"/>
    </xf>
    <xf numFmtId="0" fontId="3" fillId="0" borderId="10" xfId="0" applyFont="1" applyBorder="1" applyAlignment="1">
      <alignment vertical="center" wrapText="1"/>
    </xf>
    <xf numFmtId="0" fontId="3" fillId="0" borderId="11" xfId="0" applyFont="1" applyBorder="1" applyAlignment="1">
      <alignment vertical="center" wrapText="1"/>
    </xf>
    <xf numFmtId="0" fontId="3" fillId="0" borderId="12" xfId="0" applyFont="1" applyBorder="1" applyAlignment="1">
      <alignment vertical="center" wrapText="1"/>
    </xf>
    <xf numFmtId="164" fontId="3" fillId="0" borderId="5" xfId="0" applyNumberFormat="1" applyFont="1" applyBorder="1" applyAlignment="1">
      <alignment vertical="center" wrapText="1"/>
    </xf>
    <xf numFmtId="164" fontId="3" fillId="0" borderId="8" xfId="0" applyNumberFormat="1" applyFont="1" applyBorder="1" applyAlignment="1">
      <alignment vertical="center" wrapText="1"/>
    </xf>
    <xf numFmtId="164" fontId="3" fillId="0" borderId="11" xfId="0" applyNumberFormat="1" applyFont="1" applyBorder="1" applyAlignment="1">
      <alignment vertical="center" wrapText="1"/>
    </xf>
    <xf numFmtId="1" fontId="3" fillId="0" borderId="5" xfId="0" applyNumberFormat="1" applyFont="1" applyBorder="1" applyAlignment="1">
      <alignment vertical="center" wrapText="1"/>
    </xf>
    <xf numFmtId="1" fontId="3" fillId="0" borderId="8" xfId="0" applyNumberFormat="1" applyFont="1" applyBorder="1" applyAlignment="1">
      <alignment vertical="center" wrapText="1"/>
    </xf>
    <xf numFmtId="1" fontId="3" fillId="0" borderId="11" xfId="0" applyNumberFormat="1" applyFont="1" applyBorder="1" applyAlignment="1">
      <alignment vertical="center" wrapText="1"/>
    </xf>
    <xf numFmtId="0" fontId="1" fillId="2" borderId="0" xfId="0" applyFont="1" applyFill="1" applyAlignment="1">
      <alignment vertical="center"/>
    </xf>
    <xf numFmtId="0" fontId="4" fillId="0" borderId="0" xfId="0" applyFont="1"/>
    <xf numFmtId="0" fontId="5" fillId="0" borderId="0" xfId="1" applyAlignment="1">
      <alignment wrapText="1"/>
    </xf>
    <xf numFmtId="0" fontId="4" fillId="0" borderId="0" xfId="0" applyFont="1" applyAlignment="1">
      <alignment wrapText="1"/>
    </xf>
    <xf numFmtId="0" fontId="6" fillId="3" borderId="3" xfId="0" applyFont="1" applyFill="1" applyBorder="1" applyAlignment="1">
      <alignment horizontal="center" vertical="center" wrapText="1"/>
    </xf>
  </cellXfs>
  <cellStyles count="2">
    <cellStyle name="Hiperlink" xfId="1" builtinId="8"/>
    <cellStyle name="Normal" xfId="0" builtinId="0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11827"/>
        <name val="Aptos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rgb="FFE5E7EB"/>
        </left>
        <right style="thin">
          <color rgb="FFE5E7EB"/>
        </right>
        <top style="thin">
          <color rgb="FFE5E7EB"/>
        </top>
        <bottom style="thin">
          <color rgb="FFE5E7EB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11827"/>
        <name val="Aptos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rgb="FFE5E7EB"/>
        </left>
        <right style="thin">
          <color rgb="FFE5E7EB"/>
        </right>
        <top style="thin">
          <color rgb="FFE5E7EB"/>
        </top>
        <bottom style="thin">
          <color rgb="FFE5E7EB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11827"/>
        <name val="Aptos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rgb="FFE5E7EB"/>
        </left>
        <right style="thin">
          <color rgb="FFE5E7EB"/>
        </right>
        <top style="thin">
          <color rgb="FFE5E7EB"/>
        </top>
        <bottom style="thin">
          <color rgb="FFE5E7EB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_orcamento_onasp" displayName="tb_orcamento_onasp" ref="A1:Q11">
  <tableColumns count="17">
    <tableColumn id="1" xr3:uid="{00000000-0010-0000-0000-000001000000}" name="ID"/>
    <tableColumn id="2" xr3:uid="{00000000-0010-0000-0000-000002000000}" name="Frente"/>
    <tableColumn id="15" xr3:uid="{D914D5DF-272E-4DC3-A6F6-335470FE0AB3}" name="Itens" dataDxfId="8"/>
    <tableColumn id="16" xr3:uid="{6A41EEBC-C904-4DFD-ADDC-3498EB40FBF3}" name="Natureza" dataDxfId="7"/>
    <tableColumn id="4" xr3:uid="{00000000-0010-0000-0000-000004000000}" name="Modalidade" dataDxfId="6"/>
    <tableColumn id="5" xr3:uid="{00000000-0010-0000-0000-000005000000}" name="UFs/Abrangência"/>
    <tableColumn id="8" xr3:uid="{00000000-0010-0000-0000-000008000000}" name="Quantidade"/>
    <tableColumn id="9" xr3:uid="{00000000-0010-0000-0000-000009000000}" name="Unidade"/>
    <tableColumn id="10" xr3:uid="{00000000-0010-0000-0000-00000A000000}" name="Valor Total (R$)"/>
    <tableColumn id="11" xr3:uid="{00000000-0010-0000-0000-00000B000000}" name="Valor Unitário (R$)"/>
    <tableColumn id="14" xr3:uid="{00000000-0010-0000-0000-00000E000000}" name="Status"/>
    <tableColumn id="3" xr3:uid="{88B19836-1B82-4EF8-8262-E6176FE711DE}" name="Processo SEI" dataDxfId="5"/>
    <tableColumn id="6" xr3:uid="{552AA666-E583-4D36-947C-13CD935F3A75}" name="Link do Processo SEI" dataDxfId="4"/>
    <tableColumn id="12" xr3:uid="{3D181ED2-691D-47A7-B38A-6479B9541618}" name="Empenho" dataDxfId="3"/>
    <tableColumn id="13" xr3:uid="{47679C53-0F0B-4B30-B86B-2CFDE3582706}" name="Link do Empenho" dataDxfId="2"/>
    <tableColumn id="17" xr3:uid="{C311DB84-7F79-49B7-ACA8-9BBD21A0B19E}" name="Ordem Bancária" dataDxfId="1"/>
    <tableColumn id="18" xr3:uid="{F6EDDDF3-6451-4044-8993-8EB708FE90CB}" name="Link Ordem Bancária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sei.mj.gov.br/sei/controlador.php?acao=procedimento_trabalhar&amp;id_procedimento=39355451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s://sei.mj.gov.br/sei/controlador.php?acao=procedimento_trabalhar&amp;id_procedimento=40118887" TargetMode="External"/><Relationship Id="rId1" Type="http://schemas.openxmlformats.org/officeDocument/2006/relationships/hyperlink" Target="https://sei.mj.gov.br/sei/controlador.php?acao=procedimento_trabalhar&amp;id_procedimento=39457500" TargetMode="External"/><Relationship Id="rId6" Type="http://schemas.openxmlformats.org/officeDocument/2006/relationships/hyperlink" Target="https://sei.mj.gov.br/sei/controlador.php?acao=procedimento_trabalhar&amp;id_procedimento=40199139" TargetMode="External"/><Relationship Id="rId5" Type="http://schemas.openxmlformats.org/officeDocument/2006/relationships/hyperlink" Target="https://sei.mj.gov.br/sei/controlador.php?acao=procedimento_trabalhar&amp;id_procedimento=39355451" TargetMode="External"/><Relationship Id="rId4" Type="http://schemas.openxmlformats.org/officeDocument/2006/relationships/hyperlink" Target="https://sei.mj.gov.br/sei/controlador.php?acao=procedimento_trabalhar&amp;id_procedimento=3935545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17"/>
  <sheetViews>
    <sheetView tabSelected="1" workbookViewId="0">
      <selection activeCell="K7" sqref="K7"/>
    </sheetView>
  </sheetViews>
  <sheetFormatPr defaultRowHeight="14.4" x14ac:dyDescent="0.3"/>
  <cols>
    <col min="1" max="1" width="11.5546875" customWidth="1"/>
    <col min="2" max="3" width="37.88671875" customWidth="1"/>
    <col min="4" max="4" width="37.88671875" hidden="1" customWidth="1"/>
    <col min="5" max="5" width="16.44140625" hidden="1" customWidth="1"/>
    <col min="6" max="6" width="37.88671875" hidden="1" customWidth="1"/>
    <col min="7" max="7" width="12.109375" customWidth="1"/>
    <col min="8" max="8" width="10" customWidth="1"/>
    <col min="9" max="10" width="18.5546875" customWidth="1"/>
    <col min="11" max="11" width="13.5546875" customWidth="1"/>
    <col min="12" max="12" width="22.5546875" customWidth="1"/>
    <col min="13" max="13" width="22.109375" bestFit="1" customWidth="1"/>
    <col min="14" max="14" width="9.5546875" bestFit="1" customWidth="1"/>
    <col min="15" max="15" width="16.6640625" bestFit="1" customWidth="1"/>
    <col min="16" max="16" width="16" bestFit="1" customWidth="1"/>
    <col min="17" max="17" width="20.33203125" bestFit="1" customWidth="1"/>
  </cols>
  <sheetData>
    <row r="1" spans="1:22" ht="20.399999999999999" customHeight="1" x14ac:dyDescent="0.3">
      <c r="A1" s="1" t="s">
        <v>0</v>
      </c>
      <c r="B1" s="2" t="s">
        <v>1</v>
      </c>
      <c r="C1" s="2" t="s">
        <v>91</v>
      </c>
      <c r="D1" s="2" t="s">
        <v>6</v>
      </c>
      <c r="E1" s="2" t="s">
        <v>3</v>
      </c>
      <c r="F1" s="2" t="s">
        <v>4</v>
      </c>
      <c r="G1" s="2" t="s">
        <v>7</v>
      </c>
      <c r="H1" s="2" t="s">
        <v>8</v>
      </c>
      <c r="I1" s="2" t="s">
        <v>9</v>
      </c>
      <c r="J1" s="2" t="s">
        <v>10</v>
      </c>
      <c r="K1" s="3" t="s">
        <v>13</v>
      </c>
      <c r="L1" s="3" t="s">
        <v>92</v>
      </c>
      <c r="M1" s="3" t="s">
        <v>94</v>
      </c>
      <c r="N1" s="3" t="s">
        <v>101</v>
      </c>
      <c r="O1" s="3" t="s">
        <v>102</v>
      </c>
      <c r="P1" s="23" t="s">
        <v>103</v>
      </c>
      <c r="Q1" s="23" t="s">
        <v>104</v>
      </c>
      <c r="R1" s="20"/>
      <c r="S1" s="20"/>
      <c r="T1" s="20"/>
      <c r="U1" s="20"/>
      <c r="V1" s="20"/>
    </row>
    <row r="2" spans="1:22" ht="18" customHeight="1" x14ac:dyDescent="0.3">
      <c r="A2" s="4" t="s">
        <v>14</v>
      </c>
      <c r="B2" s="5" t="s">
        <v>15</v>
      </c>
      <c r="C2" s="5" t="s">
        <v>17</v>
      </c>
      <c r="D2" s="5" t="s">
        <v>18</v>
      </c>
      <c r="E2" s="5" t="s">
        <v>16</v>
      </c>
      <c r="F2" s="8" t="s">
        <v>36</v>
      </c>
      <c r="G2" s="16">
        <v>8</v>
      </c>
      <c r="H2" s="5" t="s">
        <v>19</v>
      </c>
      <c r="I2" s="13">
        <v>1700000</v>
      </c>
      <c r="J2" s="13">
        <f t="shared" ref="J2:J11" si="0">IF(G2&gt;0,I2/G2,"")</f>
        <v>212500</v>
      </c>
      <c r="K2" s="6" t="s">
        <v>100</v>
      </c>
      <c r="L2" s="20" t="s">
        <v>93</v>
      </c>
      <c r="M2" s="21" t="s">
        <v>95</v>
      </c>
      <c r="N2" s="20"/>
      <c r="O2" s="20"/>
      <c r="P2" s="20"/>
      <c r="Q2" s="20"/>
      <c r="R2" s="20"/>
      <c r="S2" s="20"/>
      <c r="T2" s="20"/>
      <c r="U2" s="20"/>
      <c r="V2" s="20"/>
    </row>
    <row r="3" spans="1:22" ht="18" customHeight="1" x14ac:dyDescent="0.3">
      <c r="A3" s="7" t="s">
        <v>21</v>
      </c>
      <c r="B3" s="8" t="s">
        <v>15</v>
      </c>
      <c r="C3" s="8" t="s">
        <v>22</v>
      </c>
      <c r="D3" s="8" t="s">
        <v>18</v>
      </c>
      <c r="E3" s="8" t="s">
        <v>16</v>
      </c>
      <c r="F3" s="8" t="s">
        <v>36</v>
      </c>
      <c r="G3" s="17">
        <v>54</v>
      </c>
      <c r="H3" s="8" t="s">
        <v>19</v>
      </c>
      <c r="I3" s="14">
        <v>130000</v>
      </c>
      <c r="J3" s="14">
        <f t="shared" si="0"/>
        <v>2407.4074074074074</v>
      </c>
      <c r="K3" s="9" t="s">
        <v>100</v>
      </c>
      <c r="L3" s="20" t="s">
        <v>98</v>
      </c>
      <c r="M3" s="21" t="s">
        <v>99</v>
      </c>
      <c r="N3" s="20"/>
      <c r="O3" s="20"/>
      <c r="P3" s="20"/>
      <c r="Q3" s="20"/>
      <c r="R3" s="20"/>
      <c r="S3" s="20"/>
      <c r="T3" s="20"/>
      <c r="U3" s="20"/>
      <c r="V3" s="20"/>
    </row>
    <row r="4" spans="1:22" ht="18" customHeight="1" x14ac:dyDescent="0.3">
      <c r="A4" s="7" t="s">
        <v>23</v>
      </c>
      <c r="B4" s="8" t="s">
        <v>15</v>
      </c>
      <c r="C4" s="8" t="s">
        <v>24</v>
      </c>
      <c r="D4" s="8" t="s">
        <v>18</v>
      </c>
      <c r="E4" s="8" t="s">
        <v>16</v>
      </c>
      <c r="F4" s="8" t="s">
        <v>36</v>
      </c>
      <c r="G4" s="17">
        <v>54</v>
      </c>
      <c r="H4" s="8" t="s">
        <v>19</v>
      </c>
      <c r="I4" s="14">
        <v>150000</v>
      </c>
      <c r="J4" s="14">
        <f t="shared" si="0"/>
        <v>2777.7777777777778</v>
      </c>
      <c r="K4" s="9" t="s">
        <v>100</v>
      </c>
      <c r="L4" s="20" t="s">
        <v>98</v>
      </c>
      <c r="M4" s="21" t="s">
        <v>99</v>
      </c>
      <c r="N4" s="20"/>
      <c r="O4" s="20"/>
      <c r="P4" s="20"/>
      <c r="Q4" s="20"/>
      <c r="R4" s="20"/>
      <c r="S4" s="20"/>
      <c r="T4" s="20"/>
      <c r="U4" s="20"/>
      <c r="V4" s="20"/>
    </row>
    <row r="5" spans="1:22" ht="18" customHeight="1" x14ac:dyDescent="0.3">
      <c r="A5" s="7" t="s">
        <v>25</v>
      </c>
      <c r="B5" s="8" t="s">
        <v>15</v>
      </c>
      <c r="C5" s="8" t="s">
        <v>26</v>
      </c>
      <c r="D5" s="8" t="s">
        <v>18</v>
      </c>
      <c r="E5" s="8" t="s">
        <v>16</v>
      </c>
      <c r="F5" s="8" t="s">
        <v>36</v>
      </c>
      <c r="G5" s="17">
        <v>60</v>
      </c>
      <c r="H5" s="8" t="s">
        <v>19</v>
      </c>
      <c r="I5" s="14">
        <v>300000</v>
      </c>
      <c r="J5" s="14">
        <f t="shared" si="0"/>
        <v>5000</v>
      </c>
      <c r="K5" s="9" t="s">
        <v>100</v>
      </c>
      <c r="L5" s="20" t="s">
        <v>98</v>
      </c>
      <c r="M5" s="21" t="s">
        <v>99</v>
      </c>
      <c r="N5" s="20"/>
      <c r="O5" s="20"/>
      <c r="P5" s="20"/>
      <c r="Q5" s="20"/>
      <c r="R5" s="20"/>
      <c r="S5" s="20"/>
      <c r="T5" s="20"/>
      <c r="U5" s="20"/>
      <c r="V5" s="20"/>
    </row>
    <row r="6" spans="1:22" ht="18" customHeight="1" x14ac:dyDescent="0.3">
      <c r="A6" s="7" t="s">
        <v>27</v>
      </c>
      <c r="B6" s="8" t="s">
        <v>15</v>
      </c>
      <c r="C6" s="8" t="s">
        <v>28</v>
      </c>
      <c r="D6" s="8" t="s">
        <v>18</v>
      </c>
      <c r="E6" s="8" t="s">
        <v>16</v>
      </c>
      <c r="F6" s="8" t="s">
        <v>36</v>
      </c>
      <c r="G6" s="17">
        <v>30</v>
      </c>
      <c r="H6" s="8" t="s">
        <v>19</v>
      </c>
      <c r="I6" s="14">
        <v>543875</v>
      </c>
      <c r="J6" s="14">
        <f t="shared" si="0"/>
        <v>18129.166666666668</v>
      </c>
      <c r="K6" s="9" t="s">
        <v>100</v>
      </c>
      <c r="L6" s="20" t="s">
        <v>96</v>
      </c>
      <c r="M6" s="21" t="s">
        <v>97</v>
      </c>
      <c r="N6" s="20"/>
      <c r="O6" s="20"/>
      <c r="P6" s="20"/>
      <c r="Q6" s="20"/>
      <c r="R6" s="20"/>
      <c r="S6" s="20"/>
      <c r="T6" s="20"/>
      <c r="U6" s="20"/>
      <c r="V6" s="20"/>
    </row>
    <row r="7" spans="1:22" ht="27.6" customHeight="1" x14ac:dyDescent="0.3">
      <c r="A7" s="7" t="s">
        <v>29</v>
      </c>
      <c r="B7" s="8" t="s">
        <v>15</v>
      </c>
      <c r="C7" s="8" t="s">
        <v>32</v>
      </c>
      <c r="D7" s="8" t="s">
        <v>18</v>
      </c>
      <c r="E7" s="8" t="s">
        <v>30</v>
      </c>
      <c r="F7" s="8" t="s">
        <v>31</v>
      </c>
      <c r="G7" s="17">
        <v>14</v>
      </c>
      <c r="H7" s="8" t="s">
        <v>19</v>
      </c>
      <c r="I7" s="14">
        <v>2800000</v>
      </c>
      <c r="J7" s="14">
        <f t="shared" si="0"/>
        <v>200000</v>
      </c>
      <c r="K7" s="9" t="s">
        <v>100</v>
      </c>
      <c r="L7" s="20" t="s">
        <v>105</v>
      </c>
      <c r="M7" s="21" t="s">
        <v>106</v>
      </c>
      <c r="N7" s="20"/>
      <c r="O7" s="20"/>
      <c r="P7" s="20"/>
      <c r="Q7" s="20"/>
      <c r="R7" s="20"/>
      <c r="S7" s="20"/>
      <c r="T7" s="20"/>
      <c r="U7" s="20"/>
      <c r="V7" s="20"/>
    </row>
    <row r="8" spans="1:22" ht="27.6" x14ac:dyDescent="0.3">
      <c r="A8" s="7" t="s">
        <v>33</v>
      </c>
      <c r="B8" s="8" t="s">
        <v>34</v>
      </c>
      <c r="C8" s="8" t="s">
        <v>37</v>
      </c>
      <c r="D8" s="8" t="s">
        <v>38</v>
      </c>
      <c r="E8" s="8" t="s">
        <v>35</v>
      </c>
      <c r="F8" s="8" t="s">
        <v>36</v>
      </c>
      <c r="G8" s="17">
        <v>1</v>
      </c>
      <c r="H8" s="8" t="s">
        <v>19</v>
      </c>
      <c r="I8" s="14">
        <v>300000</v>
      </c>
      <c r="J8" s="14">
        <f t="shared" si="0"/>
        <v>300000</v>
      </c>
      <c r="K8" s="9" t="s">
        <v>20</v>
      </c>
      <c r="L8" s="20"/>
      <c r="M8" s="22"/>
      <c r="N8" s="20"/>
      <c r="O8" s="20"/>
      <c r="P8" s="20"/>
      <c r="Q8" s="20"/>
      <c r="R8" s="20"/>
      <c r="S8" s="20"/>
      <c r="T8" s="20"/>
      <c r="U8" s="20"/>
      <c r="V8" s="20"/>
    </row>
    <row r="9" spans="1:22" ht="27.6" x14ac:dyDescent="0.3">
      <c r="A9" s="7" t="s">
        <v>39</v>
      </c>
      <c r="B9" s="8" t="s">
        <v>40</v>
      </c>
      <c r="C9" s="8" t="s">
        <v>43</v>
      </c>
      <c r="D9" s="8" t="s">
        <v>38</v>
      </c>
      <c r="E9" s="8" t="s">
        <v>41</v>
      </c>
      <c r="F9" s="8" t="s">
        <v>42</v>
      </c>
      <c r="G9" s="17">
        <v>12</v>
      </c>
      <c r="H9" s="8" t="s">
        <v>19</v>
      </c>
      <c r="I9" s="14">
        <v>60000</v>
      </c>
      <c r="J9" s="14">
        <f t="shared" si="0"/>
        <v>5000</v>
      </c>
      <c r="K9" s="9" t="s">
        <v>20</v>
      </c>
      <c r="L9" s="20"/>
      <c r="M9" s="22"/>
      <c r="N9" s="20"/>
      <c r="O9" s="20"/>
      <c r="P9" s="20"/>
      <c r="Q9" s="20"/>
      <c r="R9" s="20"/>
      <c r="S9" s="20"/>
      <c r="T9" s="20"/>
      <c r="U9" s="20"/>
      <c r="V9" s="20"/>
    </row>
    <row r="10" spans="1:22" ht="27.6" x14ac:dyDescent="0.3">
      <c r="A10" s="7" t="s">
        <v>44</v>
      </c>
      <c r="B10" s="8" t="s">
        <v>45</v>
      </c>
      <c r="C10" s="8" t="s">
        <v>47</v>
      </c>
      <c r="D10" s="8" t="s">
        <v>38</v>
      </c>
      <c r="E10" s="8" t="s">
        <v>46</v>
      </c>
      <c r="F10" s="8" t="s">
        <v>36</v>
      </c>
      <c r="G10" s="17">
        <v>50</v>
      </c>
      <c r="H10" s="8" t="s">
        <v>19</v>
      </c>
      <c r="I10" s="14">
        <v>250000</v>
      </c>
      <c r="J10" s="14">
        <f t="shared" si="0"/>
        <v>5000</v>
      </c>
      <c r="K10" s="9" t="s">
        <v>20</v>
      </c>
      <c r="L10" s="20"/>
      <c r="M10" s="22"/>
      <c r="N10" s="20"/>
      <c r="O10" s="20"/>
      <c r="P10" s="20"/>
      <c r="Q10" s="20"/>
      <c r="R10" s="20"/>
      <c r="S10" s="20"/>
      <c r="T10" s="20"/>
      <c r="U10" s="20"/>
      <c r="V10" s="20"/>
    </row>
    <row r="11" spans="1:22" ht="18" customHeight="1" x14ac:dyDescent="0.3">
      <c r="A11" s="10" t="s">
        <v>48</v>
      </c>
      <c r="B11" s="11" t="s">
        <v>49</v>
      </c>
      <c r="C11" s="11" t="s">
        <v>50</v>
      </c>
      <c r="D11" s="11" t="s">
        <v>38</v>
      </c>
      <c r="E11" s="11" t="s">
        <v>50</v>
      </c>
      <c r="F11" s="11" t="s">
        <v>42</v>
      </c>
      <c r="G11" s="18"/>
      <c r="H11" s="11" t="s">
        <v>51</v>
      </c>
      <c r="I11" s="15">
        <v>766125</v>
      </c>
      <c r="J11" s="15" t="str">
        <f t="shared" si="0"/>
        <v/>
      </c>
      <c r="K11" s="12" t="s">
        <v>20</v>
      </c>
      <c r="L11" s="20"/>
      <c r="M11" s="22"/>
      <c r="N11" s="20"/>
      <c r="O11" s="20"/>
      <c r="P11" s="20"/>
      <c r="Q11" s="20"/>
      <c r="R11" s="20"/>
      <c r="S11" s="20"/>
      <c r="T11" s="20"/>
      <c r="U11" s="20"/>
      <c r="V11" s="20"/>
    </row>
    <row r="12" spans="1:22" x14ac:dyDescent="0.3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</row>
    <row r="13" spans="1:22" x14ac:dyDescent="0.3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</row>
    <row r="14" spans="1:22" x14ac:dyDescent="0.3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</row>
    <row r="15" spans="1:22" x14ac:dyDescent="0.3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</row>
    <row r="16" spans="1:22" x14ac:dyDescent="0.3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</row>
    <row r="17" spans="1:22" x14ac:dyDescent="0.3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</row>
    <row r="18" spans="1:22" x14ac:dyDescent="0.3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</row>
    <row r="19" spans="1:22" x14ac:dyDescent="0.3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</row>
    <row r="20" spans="1:22" x14ac:dyDescent="0.3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</row>
    <row r="21" spans="1:22" x14ac:dyDescent="0.3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</row>
    <row r="22" spans="1:22" x14ac:dyDescent="0.3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</row>
    <row r="23" spans="1:22" x14ac:dyDescent="0.3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</row>
    <row r="24" spans="1:22" x14ac:dyDescent="0.3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</row>
    <row r="25" spans="1:22" x14ac:dyDescent="0.3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</row>
    <row r="26" spans="1:22" x14ac:dyDescent="0.3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</row>
    <row r="27" spans="1:22" x14ac:dyDescent="0.3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</row>
    <row r="28" spans="1:22" x14ac:dyDescent="0.3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</row>
    <row r="29" spans="1:22" x14ac:dyDescent="0.3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</row>
    <row r="30" spans="1:22" x14ac:dyDescent="0.3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</row>
    <row r="31" spans="1:22" x14ac:dyDescent="0.3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</row>
    <row r="32" spans="1:22" x14ac:dyDescent="0.3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</row>
    <row r="33" spans="1:22" x14ac:dyDescent="0.3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</row>
    <row r="34" spans="1:22" x14ac:dyDescent="0.3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</row>
    <row r="35" spans="1:22" x14ac:dyDescent="0.3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</row>
    <row r="36" spans="1:22" x14ac:dyDescent="0.3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</row>
    <row r="37" spans="1:22" x14ac:dyDescent="0.3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</row>
    <row r="38" spans="1:22" x14ac:dyDescent="0.3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</row>
    <row r="39" spans="1:22" x14ac:dyDescent="0.3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</row>
    <row r="40" spans="1:22" x14ac:dyDescent="0.3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</row>
    <row r="41" spans="1:22" x14ac:dyDescent="0.3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</row>
    <row r="42" spans="1:22" x14ac:dyDescent="0.3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</row>
    <row r="43" spans="1:22" x14ac:dyDescent="0.3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</row>
    <row r="44" spans="1:22" x14ac:dyDescent="0.3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</row>
    <row r="45" spans="1:22" x14ac:dyDescent="0.3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</row>
    <row r="46" spans="1:22" x14ac:dyDescent="0.3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</row>
    <row r="47" spans="1:22" x14ac:dyDescent="0.3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</row>
    <row r="48" spans="1:22" x14ac:dyDescent="0.3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</row>
    <row r="49" spans="1:22" x14ac:dyDescent="0.3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</row>
    <row r="50" spans="1:22" x14ac:dyDescent="0.3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</row>
    <row r="51" spans="1:22" x14ac:dyDescent="0.3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</row>
    <row r="52" spans="1:22" x14ac:dyDescent="0.3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</row>
    <row r="53" spans="1:22" x14ac:dyDescent="0.3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</row>
    <row r="54" spans="1:22" x14ac:dyDescent="0.3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</row>
    <row r="55" spans="1:22" x14ac:dyDescent="0.3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</row>
    <row r="56" spans="1:22" x14ac:dyDescent="0.3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</row>
    <row r="57" spans="1:22" x14ac:dyDescent="0.3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</row>
    <row r="58" spans="1:22" x14ac:dyDescent="0.3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</row>
    <row r="59" spans="1:22" x14ac:dyDescent="0.3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</row>
    <row r="60" spans="1:22" x14ac:dyDescent="0.3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</row>
    <row r="61" spans="1:22" x14ac:dyDescent="0.3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</row>
    <row r="62" spans="1:22" x14ac:dyDescent="0.3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</row>
    <row r="63" spans="1:22" x14ac:dyDescent="0.3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</row>
    <row r="64" spans="1:22" x14ac:dyDescent="0.3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</row>
    <row r="65" spans="1:22" x14ac:dyDescent="0.3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</row>
    <row r="66" spans="1:22" x14ac:dyDescent="0.3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</row>
    <row r="67" spans="1:22" x14ac:dyDescent="0.3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</row>
    <row r="68" spans="1:22" x14ac:dyDescent="0.3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</row>
    <row r="69" spans="1:22" x14ac:dyDescent="0.3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</row>
    <row r="70" spans="1:22" x14ac:dyDescent="0.3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</row>
    <row r="71" spans="1:22" x14ac:dyDescent="0.3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</row>
    <row r="72" spans="1:22" x14ac:dyDescent="0.3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</row>
    <row r="73" spans="1:22" x14ac:dyDescent="0.3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</row>
    <row r="74" spans="1:22" x14ac:dyDescent="0.3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</row>
    <row r="75" spans="1:22" x14ac:dyDescent="0.3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</row>
    <row r="76" spans="1:22" x14ac:dyDescent="0.3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</row>
    <row r="77" spans="1:22" x14ac:dyDescent="0.3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</row>
    <row r="78" spans="1:22" x14ac:dyDescent="0.3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</row>
    <row r="79" spans="1:22" x14ac:dyDescent="0.3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</row>
    <row r="80" spans="1:22" x14ac:dyDescent="0.3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</row>
    <row r="81" spans="1:22" x14ac:dyDescent="0.3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</row>
    <row r="82" spans="1:22" x14ac:dyDescent="0.3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</row>
    <row r="83" spans="1:22" x14ac:dyDescent="0.3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</row>
    <row r="84" spans="1:22" x14ac:dyDescent="0.3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</row>
    <row r="85" spans="1:22" x14ac:dyDescent="0.3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</row>
    <row r="86" spans="1:22" x14ac:dyDescent="0.3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</row>
    <row r="87" spans="1:22" x14ac:dyDescent="0.3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</row>
    <row r="88" spans="1:22" x14ac:dyDescent="0.3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</row>
    <row r="89" spans="1:22" x14ac:dyDescent="0.3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</row>
    <row r="90" spans="1:22" x14ac:dyDescent="0.3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</row>
    <row r="91" spans="1:22" x14ac:dyDescent="0.3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</row>
    <row r="92" spans="1:22" x14ac:dyDescent="0.3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</row>
    <row r="93" spans="1:22" x14ac:dyDescent="0.3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</row>
    <row r="94" spans="1:22" x14ac:dyDescent="0.3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</row>
    <row r="95" spans="1:22" x14ac:dyDescent="0.3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</row>
    <row r="96" spans="1:22" x14ac:dyDescent="0.3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</row>
    <row r="97" spans="1:22" x14ac:dyDescent="0.3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</row>
    <row r="98" spans="1:22" x14ac:dyDescent="0.3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</row>
    <row r="99" spans="1:22" x14ac:dyDescent="0.3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</row>
    <row r="100" spans="1:22" x14ac:dyDescent="0.3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</row>
    <row r="101" spans="1:22" x14ac:dyDescent="0.3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</row>
    <row r="102" spans="1:22" x14ac:dyDescent="0.3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</row>
    <row r="103" spans="1:22" x14ac:dyDescent="0.3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</row>
    <row r="104" spans="1:22" x14ac:dyDescent="0.3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</row>
    <row r="105" spans="1:22" x14ac:dyDescent="0.3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</row>
    <row r="106" spans="1:22" x14ac:dyDescent="0.3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</row>
    <row r="107" spans="1:22" x14ac:dyDescent="0.3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</row>
    <row r="108" spans="1:22" x14ac:dyDescent="0.3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</row>
    <row r="109" spans="1:22" x14ac:dyDescent="0.3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</row>
    <row r="110" spans="1:22" x14ac:dyDescent="0.3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</row>
    <row r="111" spans="1:22" x14ac:dyDescent="0.3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</row>
    <row r="112" spans="1:22" x14ac:dyDescent="0.3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</row>
    <row r="113" spans="1:22" x14ac:dyDescent="0.3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</row>
    <row r="114" spans="1:22" x14ac:dyDescent="0.3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</row>
    <row r="115" spans="1:22" x14ac:dyDescent="0.3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</row>
    <row r="116" spans="1:22" x14ac:dyDescent="0.3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</row>
    <row r="117" spans="1:22" x14ac:dyDescent="0.3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</row>
  </sheetData>
  <dataValidations count="4">
    <dataValidation type="list" allowBlank="1" sqref="E12:E97" xr:uid="{00000000-0002-0000-0000-000000000000}">
      <formula1>"Doação,Convênio,Contratação,Curso,Capacitação,Diárias"</formula1>
    </dataValidation>
    <dataValidation type="list" allowBlank="1" sqref="H2:H97" xr:uid="{00000000-0002-0000-0000-000002000000}">
      <formula1>"un,-"</formula1>
    </dataValidation>
    <dataValidation type="list" allowBlank="1" sqref="K2:K97" xr:uid="{00000000-0002-0000-0000-000003000000}">
      <formula1>"Planejado,Em execução,Concluído,A revisar"</formula1>
    </dataValidation>
    <dataValidation type="list" allowBlank="1" sqref="D2:D11" xr:uid="{00000000-0002-0000-0000-000001000000}">
      <formula1>"Capital,Custeio"</formula1>
    </dataValidation>
  </dataValidations>
  <hyperlinks>
    <hyperlink ref="M2" r:id="rId1" xr:uid="{0C07EC8B-EB15-4D06-990F-242ABDE7980B}"/>
    <hyperlink ref="M6" r:id="rId2" xr:uid="{0808E0BF-12C1-4966-ADF1-C00710038719}"/>
    <hyperlink ref="M3" r:id="rId3" xr:uid="{B51B0197-E030-4AE1-A061-E3DD68EC318D}"/>
    <hyperlink ref="M4" r:id="rId4" xr:uid="{FCCC70F8-4DE8-489C-91DD-73D0608B8252}"/>
    <hyperlink ref="M5" r:id="rId5" xr:uid="{A0CAB60B-0939-475E-ABF3-AD1C0430748E}"/>
    <hyperlink ref="M7" r:id="rId6" xr:uid="{CC5A4DA1-476A-4C3A-84B2-2033BCFEE5A8}"/>
  </hyperlinks>
  <pageMargins left="0.7" right="0.7" top="0.75" bottom="0.75" header="0.3" footer="0.3"/>
  <tableParts count="1"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20"/>
  <sheetViews>
    <sheetView workbookViewId="0"/>
  </sheetViews>
  <sheetFormatPr defaultRowHeight="14.4" x14ac:dyDescent="0.3"/>
  <cols>
    <col min="1" max="1" width="20.6640625" customWidth="1"/>
    <col min="2" max="2" width="17.109375" customWidth="1"/>
    <col min="3" max="3" width="55" customWidth="1"/>
    <col min="4" max="4" width="59.33203125" customWidth="1"/>
  </cols>
  <sheetData>
    <row r="1" spans="1:26" ht="21" x14ac:dyDescent="0.3">
      <c r="A1" s="19" t="s">
        <v>52</v>
      </c>
      <c r="B1" s="19"/>
      <c r="C1" s="19"/>
      <c r="D1" s="19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</row>
    <row r="2" spans="1:26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</row>
    <row r="3" spans="1:26" x14ac:dyDescent="0.3">
      <c r="A3" s="1" t="s">
        <v>53</v>
      </c>
      <c r="B3" s="2" t="s">
        <v>54</v>
      </c>
      <c r="C3" s="2" t="s">
        <v>55</v>
      </c>
      <c r="D3" s="3" t="s">
        <v>56</v>
      </c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</row>
    <row r="4" spans="1:26" ht="25.2" customHeight="1" x14ac:dyDescent="0.3">
      <c r="A4" s="4" t="s">
        <v>0</v>
      </c>
      <c r="B4" s="5" t="s">
        <v>57</v>
      </c>
      <c r="C4" s="5" t="s">
        <v>58</v>
      </c>
      <c r="D4" s="6" t="s">
        <v>59</v>
      </c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</row>
    <row r="5" spans="1:26" ht="25.2" customHeight="1" x14ac:dyDescent="0.3">
      <c r="A5" s="7" t="s">
        <v>1</v>
      </c>
      <c r="B5" s="8" t="s">
        <v>60</v>
      </c>
      <c r="C5" s="8" t="s">
        <v>61</v>
      </c>
      <c r="D5" s="9" t="s">
        <v>62</v>
      </c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</row>
    <row r="6" spans="1:26" ht="25.2" customHeight="1" x14ac:dyDescent="0.3">
      <c r="A6" s="7" t="s">
        <v>2</v>
      </c>
      <c r="B6" s="8" t="s">
        <v>60</v>
      </c>
      <c r="C6" s="8" t="s">
        <v>63</v>
      </c>
      <c r="D6" s="9" t="s">
        <v>64</v>
      </c>
      <c r="E6" s="20"/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</row>
    <row r="7" spans="1:26" ht="25.2" customHeight="1" x14ac:dyDescent="0.3">
      <c r="A7" s="7" t="s">
        <v>3</v>
      </c>
      <c r="B7" s="8" t="s">
        <v>60</v>
      </c>
      <c r="C7" s="8" t="s">
        <v>65</v>
      </c>
      <c r="D7" s="9" t="s">
        <v>66</v>
      </c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</row>
    <row r="8" spans="1:26" ht="25.2" customHeight="1" x14ac:dyDescent="0.3">
      <c r="A8" s="7" t="s">
        <v>4</v>
      </c>
      <c r="B8" s="8" t="s">
        <v>67</v>
      </c>
      <c r="C8" s="8" t="s">
        <v>68</v>
      </c>
      <c r="D8" s="9" t="s">
        <v>69</v>
      </c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</row>
    <row r="9" spans="1:26" ht="25.2" customHeight="1" x14ac:dyDescent="0.3">
      <c r="A9" s="7" t="s">
        <v>5</v>
      </c>
      <c r="B9" s="8" t="s">
        <v>67</v>
      </c>
      <c r="C9" s="8" t="s">
        <v>70</v>
      </c>
      <c r="D9" s="9" t="s">
        <v>71</v>
      </c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</row>
    <row r="10" spans="1:26" ht="25.2" customHeight="1" x14ac:dyDescent="0.3">
      <c r="A10" s="7" t="s">
        <v>6</v>
      </c>
      <c r="B10" s="8" t="s">
        <v>60</v>
      </c>
      <c r="C10" s="8" t="s">
        <v>72</v>
      </c>
      <c r="D10" s="9" t="s">
        <v>73</v>
      </c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</row>
    <row r="11" spans="1:26" ht="25.2" customHeight="1" x14ac:dyDescent="0.3">
      <c r="A11" s="7" t="s">
        <v>7</v>
      </c>
      <c r="B11" s="8" t="s">
        <v>74</v>
      </c>
      <c r="C11" s="8" t="s">
        <v>75</v>
      </c>
      <c r="D11" s="9" t="s">
        <v>76</v>
      </c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</row>
    <row r="12" spans="1:26" ht="25.2" customHeight="1" x14ac:dyDescent="0.3">
      <c r="A12" s="7" t="s">
        <v>8</v>
      </c>
      <c r="B12" s="8" t="s">
        <v>60</v>
      </c>
      <c r="C12" s="8" t="s">
        <v>77</v>
      </c>
      <c r="D12" s="9" t="s">
        <v>78</v>
      </c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</row>
    <row r="13" spans="1:26" ht="25.2" customHeight="1" x14ac:dyDescent="0.3">
      <c r="A13" s="7" t="s">
        <v>9</v>
      </c>
      <c r="B13" s="8" t="s">
        <v>79</v>
      </c>
      <c r="C13" s="8" t="s">
        <v>80</v>
      </c>
      <c r="D13" s="9" t="s">
        <v>81</v>
      </c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</row>
    <row r="14" spans="1:26" ht="25.2" customHeight="1" x14ac:dyDescent="0.3">
      <c r="A14" s="7" t="s">
        <v>10</v>
      </c>
      <c r="B14" s="8" t="s">
        <v>82</v>
      </c>
      <c r="C14" s="8" t="s">
        <v>83</v>
      </c>
      <c r="D14" s="9" t="s">
        <v>84</v>
      </c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</row>
    <row r="15" spans="1:26" ht="25.2" customHeight="1" x14ac:dyDescent="0.3">
      <c r="A15" s="7" t="s">
        <v>11</v>
      </c>
      <c r="B15" s="8" t="s">
        <v>67</v>
      </c>
      <c r="C15" s="8" t="s">
        <v>85</v>
      </c>
      <c r="D15" s="9" t="s">
        <v>86</v>
      </c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</row>
    <row r="16" spans="1:26" ht="25.2" customHeight="1" x14ac:dyDescent="0.3">
      <c r="A16" s="7" t="s">
        <v>12</v>
      </c>
      <c r="B16" s="8" t="s">
        <v>67</v>
      </c>
      <c r="C16" s="8" t="s">
        <v>87</v>
      </c>
      <c r="D16" s="9" t="s">
        <v>88</v>
      </c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</row>
    <row r="17" spans="1:26" ht="25.2" customHeight="1" x14ac:dyDescent="0.3">
      <c r="A17" s="10" t="s">
        <v>13</v>
      </c>
      <c r="B17" s="11" t="s">
        <v>60</v>
      </c>
      <c r="C17" s="11" t="s">
        <v>89</v>
      </c>
      <c r="D17" s="12" t="s">
        <v>90</v>
      </c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</row>
    <row r="18" spans="1:26" x14ac:dyDescent="0.3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</row>
    <row r="19" spans="1:26" x14ac:dyDescent="0.3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</row>
    <row r="20" spans="1:26" x14ac:dyDescent="0.3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</row>
    <row r="21" spans="1:26" x14ac:dyDescent="0.3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</row>
    <row r="22" spans="1:26" x14ac:dyDescent="0.3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</row>
    <row r="23" spans="1:26" x14ac:dyDescent="0.3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</row>
    <row r="24" spans="1:26" x14ac:dyDescent="0.3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</row>
    <row r="25" spans="1:26" x14ac:dyDescent="0.3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</row>
    <row r="26" spans="1:26" x14ac:dyDescent="0.3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</row>
    <row r="27" spans="1:26" x14ac:dyDescent="0.3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</row>
    <row r="28" spans="1:26" x14ac:dyDescent="0.3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</row>
    <row r="29" spans="1:26" x14ac:dyDescent="0.3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</row>
    <row r="30" spans="1:26" x14ac:dyDescent="0.3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</row>
    <row r="31" spans="1:26" x14ac:dyDescent="0.3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</row>
    <row r="32" spans="1:26" x14ac:dyDescent="0.3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</row>
    <row r="33" spans="1:26" x14ac:dyDescent="0.3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</row>
    <row r="34" spans="1:26" x14ac:dyDescent="0.3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</row>
    <row r="35" spans="1:26" x14ac:dyDescent="0.3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</row>
    <row r="36" spans="1:26" x14ac:dyDescent="0.3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</row>
    <row r="37" spans="1:26" x14ac:dyDescent="0.3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</row>
    <row r="38" spans="1:26" x14ac:dyDescent="0.3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</row>
    <row r="39" spans="1:26" x14ac:dyDescent="0.3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</row>
    <row r="40" spans="1:26" x14ac:dyDescent="0.3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</row>
    <row r="41" spans="1:26" x14ac:dyDescent="0.3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</row>
    <row r="42" spans="1:26" x14ac:dyDescent="0.3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</row>
    <row r="43" spans="1:26" x14ac:dyDescent="0.3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</row>
    <row r="44" spans="1:26" x14ac:dyDescent="0.3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</row>
    <row r="45" spans="1:26" x14ac:dyDescent="0.3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</row>
    <row r="46" spans="1:26" x14ac:dyDescent="0.3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</row>
    <row r="47" spans="1:26" x14ac:dyDescent="0.3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</row>
    <row r="48" spans="1:26" x14ac:dyDescent="0.3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</row>
    <row r="49" spans="1:26" x14ac:dyDescent="0.3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</row>
    <row r="50" spans="1:26" x14ac:dyDescent="0.3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</row>
    <row r="51" spans="1:26" x14ac:dyDescent="0.3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</row>
    <row r="52" spans="1:26" x14ac:dyDescent="0.3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</row>
    <row r="53" spans="1:26" x14ac:dyDescent="0.3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</row>
    <row r="54" spans="1:26" x14ac:dyDescent="0.3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</row>
    <row r="55" spans="1:26" x14ac:dyDescent="0.3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</row>
    <row r="56" spans="1:26" x14ac:dyDescent="0.3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</row>
    <row r="57" spans="1:26" x14ac:dyDescent="0.3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</row>
    <row r="58" spans="1:26" x14ac:dyDescent="0.3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</row>
    <row r="59" spans="1:26" x14ac:dyDescent="0.3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</row>
    <row r="60" spans="1:26" x14ac:dyDescent="0.3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</row>
    <row r="61" spans="1:26" x14ac:dyDescent="0.3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</row>
    <row r="62" spans="1:26" x14ac:dyDescent="0.3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</row>
    <row r="63" spans="1:26" x14ac:dyDescent="0.3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</row>
    <row r="64" spans="1:26" x14ac:dyDescent="0.3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</row>
    <row r="65" spans="1:26" x14ac:dyDescent="0.3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</row>
    <row r="66" spans="1:26" x14ac:dyDescent="0.3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</row>
    <row r="67" spans="1:26" x14ac:dyDescent="0.3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</row>
    <row r="68" spans="1:26" x14ac:dyDescent="0.3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</row>
    <row r="69" spans="1:26" x14ac:dyDescent="0.3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</row>
    <row r="70" spans="1:26" x14ac:dyDescent="0.3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</row>
    <row r="71" spans="1:26" x14ac:dyDescent="0.3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</row>
    <row r="72" spans="1:26" x14ac:dyDescent="0.3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</row>
    <row r="73" spans="1:26" x14ac:dyDescent="0.3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</row>
    <row r="74" spans="1:26" x14ac:dyDescent="0.3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</row>
    <row r="75" spans="1:26" x14ac:dyDescent="0.3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</row>
    <row r="76" spans="1:26" x14ac:dyDescent="0.3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</row>
    <row r="77" spans="1:26" x14ac:dyDescent="0.3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</row>
    <row r="78" spans="1:26" x14ac:dyDescent="0.3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</row>
    <row r="79" spans="1:26" x14ac:dyDescent="0.3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</row>
    <row r="80" spans="1:26" x14ac:dyDescent="0.3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</row>
    <row r="81" spans="1:26" x14ac:dyDescent="0.3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</row>
    <row r="82" spans="1:26" x14ac:dyDescent="0.3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</row>
    <row r="83" spans="1:26" x14ac:dyDescent="0.3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</row>
    <row r="84" spans="1:26" x14ac:dyDescent="0.3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</row>
    <row r="85" spans="1:26" x14ac:dyDescent="0.3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</row>
    <row r="86" spans="1:26" x14ac:dyDescent="0.3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</row>
    <row r="87" spans="1:26" x14ac:dyDescent="0.3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</row>
    <row r="88" spans="1:26" x14ac:dyDescent="0.3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</row>
    <row r="89" spans="1:26" x14ac:dyDescent="0.3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</row>
    <row r="90" spans="1:26" x14ac:dyDescent="0.3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</row>
    <row r="91" spans="1:26" x14ac:dyDescent="0.3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</row>
    <row r="92" spans="1:26" x14ac:dyDescent="0.3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</row>
    <row r="93" spans="1:26" x14ac:dyDescent="0.3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</row>
    <row r="94" spans="1:26" x14ac:dyDescent="0.3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</row>
    <row r="95" spans="1:26" x14ac:dyDescent="0.3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</row>
    <row r="96" spans="1:26" x14ac:dyDescent="0.3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</row>
    <row r="97" spans="1:26" x14ac:dyDescent="0.3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</row>
    <row r="98" spans="1:26" x14ac:dyDescent="0.3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</row>
    <row r="99" spans="1:26" x14ac:dyDescent="0.3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</row>
    <row r="100" spans="1:26" x14ac:dyDescent="0.3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</row>
    <row r="101" spans="1:26" x14ac:dyDescent="0.3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</row>
    <row r="102" spans="1:26" x14ac:dyDescent="0.3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</row>
    <row r="103" spans="1:26" x14ac:dyDescent="0.3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</row>
    <row r="104" spans="1:26" x14ac:dyDescent="0.3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</row>
    <row r="105" spans="1:26" x14ac:dyDescent="0.3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</row>
    <row r="106" spans="1:26" x14ac:dyDescent="0.3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</row>
    <row r="107" spans="1:26" x14ac:dyDescent="0.3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</row>
    <row r="108" spans="1:26" x14ac:dyDescent="0.3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</row>
    <row r="109" spans="1:26" x14ac:dyDescent="0.3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</row>
    <row r="110" spans="1:26" x14ac:dyDescent="0.3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</row>
    <row r="111" spans="1:26" x14ac:dyDescent="0.3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</row>
    <row r="112" spans="1:26" x14ac:dyDescent="0.3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</row>
    <row r="113" spans="1:26" x14ac:dyDescent="0.3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</row>
    <row r="114" spans="1:26" x14ac:dyDescent="0.3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</row>
    <row r="115" spans="1:26" x14ac:dyDescent="0.3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</row>
    <row r="116" spans="1:26" x14ac:dyDescent="0.3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</row>
    <row r="117" spans="1:26" x14ac:dyDescent="0.3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</row>
    <row r="118" spans="1:26" x14ac:dyDescent="0.3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</row>
    <row r="119" spans="1:26" x14ac:dyDescent="0.3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</row>
    <row r="120" spans="1:26" x14ac:dyDescent="0.3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Base_Dados</vt:lpstr>
      <vt:lpstr>Dicionario_Campos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Marcelo Rocha Cortez</cp:lastModifiedBy>
  <dcterms:modified xsi:type="dcterms:W3CDTF">2026-04-29T18:46:05Z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559fe9b-6987-45ef-b918-e76911e153f0_Enabled">
    <vt:lpwstr>true</vt:lpwstr>
  </property>
  <property fmtid="{D5CDD505-2E9C-101B-9397-08002B2CF9AE}" pid="3" name="MSIP_Label_0559fe9b-6987-45ef-b918-e76911e153f0_SetDate">
    <vt:lpwstr>2026-04-29T14:01:24Z</vt:lpwstr>
  </property>
  <property fmtid="{D5CDD505-2E9C-101B-9397-08002B2CF9AE}" pid="4" name="MSIP_Label_0559fe9b-6987-45ef-b918-e76911e153f0_Method">
    <vt:lpwstr>Privileged</vt:lpwstr>
  </property>
  <property fmtid="{D5CDD505-2E9C-101B-9397-08002B2CF9AE}" pid="5" name="MSIP_Label_0559fe9b-6987-45ef-b918-e76911e153f0_Name">
    <vt:lpwstr>Público</vt:lpwstr>
  </property>
  <property fmtid="{D5CDD505-2E9C-101B-9397-08002B2CF9AE}" pid="6" name="MSIP_Label_0559fe9b-6987-45ef-b918-e76911e153f0_SiteId">
    <vt:lpwstr>eb090420-444c-43f7-91f2-4b8da6bfe8e1</vt:lpwstr>
  </property>
  <property fmtid="{D5CDD505-2E9C-101B-9397-08002B2CF9AE}" pid="7" name="MSIP_Label_0559fe9b-6987-45ef-b918-e76911e153f0_ActionId">
    <vt:lpwstr>c17aa724-7d49-4834-9b53-9fc13cca6eb2</vt:lpwstr>
  </property>
  <property fmtid="{D5CDD505-2E9C-101B-9397-08002B2CF9AE}" pid="8" name="MSIP_Label_0559fe9b-6987-45ef-b918-e76911e153f0_ContentBits">
    <vt:lpwstr>0</vt:lpwstr>
  </property>
  <property fmtid="{D5CDD505-2E9C-101B-9397-08002B2CF9AE}" pid="9" name="MSIP_Label_0559fe9b-6987-45ef-b918-e76911e153f0_Tag">
    <vt:lpwstr>10, 0, 1, 1</vt:lpwstr>
  </property>
</Properties>
</file>